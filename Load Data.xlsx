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rtaza Arfan\Downloads\Python\"/>
    </mc:Choice>
  </mc:AlternateContent>
  <xr:revisionPtr revIDLastSave="0" documentId="13_ncr:1_{D110B680-6403-43D6-9C49-C11C64238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T37" i="1"/>
  <c r="V36" i="1"/>
  <c r="T36" i="1"/>
  <c r="V35" i="1"/>
  <c r="T35" i="1"/>
  <c r="V34" i="1"/>
  <c r="T34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5" i="1"/>
  <c r="T25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V9" i="1"/>
  <c r="T9" i="1"/>
  <c r="V8" i="1"/>
  <c r="T8" i="1"/>
  <c r="V7" i="1"/>
  <c r="T7" i="1"/>
  <c r="V3" i="1"/>
  <c r="V4" i="1"/>
  <c r="V5" i="1"/>
  <c r="V6" i="1"/>
  <c r="V2" i="1"/>
  <c r="T3" i="1"/>
  <c r="T4" i="1"/>
  <c r="T5" i="1"/>
  <c r="T6" i="1"/>
  <c r="T2" i="1"/>
</calcChain>
</file>

<file path=xl/sharedStrings.xml><?xml version="1.0" encoding="utf-8"?>
<sst xmlns="http://schemas.openxmlformats.org/spreadsheetml/2006/main" count="454" uniqueCount="63">
  <si>
    <t xml:space="preserve">Carrier Name </t>
  </si>
  <si>
    <t>MC#</t>
  </si>
  <si>
    <t>Load#</t>
  </si>
  <si>
    <t>Driver</t>
  </si>
  <si>
    <t>Truck#</t>
  </si>
  <si>
    <t>Broker Name</t>
  </si>
  <si>
    <t>Broker MC#</t>
  </si>
  <si>
    <t>Load Type</t>
  </si>
  <si>
    <t>Weight</t>
  </si>
  <si>
    <t>Total Miles</t>
  </si>
  <si>
    <t>Pickup State</t>
  </si>
  <si>
    <t>PPickup City</t>
  </si>
  <si>
    <t>Pickup Date</t>
  </si>
  <si>
    <t>Delivery State</t>
  </si>
  <si>
    <t>Delivery City</t>
  </si>
  <si>
    <t>Delivery Date</t>
  </si>
  <si>
    <t>Amount</t>
  </si>
  <si>
    <t>Load Status</t>
  </si>
  <si>
    <t>Delivery Status</t>
  </si>
  <si>
    <t>Rate/Mile</t>
  </si>
  <si>
    <t>Lumper Paid</t>
  </si>
  <si>
    <t>Driver Pay</t>
  </si>
  <si>
    <t>TEST Carrier 1</t>
  </si>
  <si>
    <t>TEST Carrier 2</t>
  </si>
  <si>
    <t>TEST Carrier 3</t>
  </si>
  <si>
    <t>TEST Carrier 4</t>
  </si>
  <si>
    <t>TEST Carrier 5</t>
  </si>
  <si>
    <t>Company MC 1</t>
  </si>
  <si>
    <t>Company MC 2</t>
  </si>
  <si>
    <t>Company MC 3</t>
  </si>
  <si>
    <t>Company MC 4</t>
  </si>
  <si>
    <t>Company MC 5</t>
  </si>
  <si>
    <t>Paul</t>
  </si>
  <si>
    <t>Smith</t>
  </si>
  <si>
    <t>Bravo</t>
  </si>
  <si>
    <t>Stephan</t>
  </si>
  <si>
    <t>Myles</t>
  </si>
  <si>
    <t>EA123</t>
  </si>
  <si>
    <t>EA456</t>
  </si>
  <si>
    <t>EA789</t>
  </si>
  <si>
    <t>EA1346</t>
  </si>
  <si>
    <t>EA4679</t>
  </si>
  <si>
    <t>TEST Broker 1</t>
  </si>
  <si>
    <t>TEST Broker 2</t>
  </si>
  <si>
    <t>TEST Broker 3</t>
  </si>
  <si>
    <t>TEST Broker 4</t>
  </si>
  <si>
    <t>TEST Broker 5</t>
  </si>
  <si>
    <t>Heavy</t>
  </si>
  <si>
    <t>Light</t>
  </si>
  <si>
    <t>Idaho</t>
  </si>
  <si>
    <t>California</t>
  </si>
  <si>
    <t>Ohio</t>
  </si>
  <si>
    <t>North Carolina</t>
  </si>
  <si>
    <t>Alaska</t>
  </si>
  <si>
    <t>Twin Falls</t>
  </si>
  <si>
    <t>Los Angeles</t>
  </si>
  <si>
    <t>Columbus</t>
  </si>
  <si>
    <t>Raleigh</t>
  </si>
  <si>
    <t>Sitka</t>
  </si>
  <si>
    <t>Approved</t>
  </si>
  <si>
    <t>Need to Review</t>
  </si>
  <si>
    <t>On Time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</si>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</sst>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7"/>
  <sheetViews>
    <sheetView tabSelected="1" zoomScale="130" zoomScaleNormal="130" workbookViewId="0"/>
  </sheetViews>
  <sheetFormatPr defaultColWidth="12.5703125" defaultRowHeight="15.75" customHeight="1" x14ac:dyDescent="0.2"/>
  <cols>
    <col min="1" max="1" width="13.28515625" bestFit="1" customWidth="1"/>
    <col min="2" max="2" width="14" bestFit="1" customWidth="1"/>
    <col min="3" max="3" width="6" bestFit="1" customWidth="1"/>
    <col min="4" max="4" width="7.85546875" bestFit="1" customWidth="1"/>
    <col min="5" max="5" width="7.5703125" bestFit="1" customWidth="1"/>
    <col min="6" max="6" width="13.28515625" bestFit="1" customWidth="1"/>
    <col min="7" max="7" width="10.85546875" bestFit="1" customWidth="1"/>
    <col min="8" max="8" width="9.5703125" bestFit="1" customWidth="1"/>
    <col min="9" max="9" width="6.85546875" bestFit="1" customWidth="1"/>
    <col min="10" max="10" width="10" bestFit="1" customWidth="1"/>
    <col min="11" max="11" width="12.7109375" bestFit="1" customWidth="1"/>
    <col min="12" max="12" width="11.85546875" bestFit="1" customWidth="1"/>
    <col min="13" max="13" width="11.140625" style="2" bestFit="1" customWidth="1"/>
    <col min="14" max="14" width="12.7109375" bestFit="1" customWidth="1"/>
    <col min="15" max="15" width="11.28515625" bestFit="1" customWidth="1"/>
    <col min="16" max="16" width="11.85546875" style="2" bestFit="1" customWidth="1"/>
    <col min="17" max="17" width="9.140625" style="5" bestFit="1" customWidth="1"/>
    <col min="18" max="18" width="13.85546875" bestFit="1" customWidth="1"/>
    <col min="19" max="19" width="13.5703125" bestFit="1" customWidth="1"/>
    <col min="20" max="20" width="8.85546875" style="5" bestFit="1" customWidth="1"/>
    <col min="21" max="21" width="11.42578125" bestFit="1" customWidth="1"/>
    <col min="22" max="22" width="9.5703125" style="5" bestFit="1" customWidth="1"/>
  </cols>
  <sheetData>
    <row r="1" spans="1:2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</row>
    <row r="2" spans="1:22" ht="12.75" x14ac:dyDescent="0.2">
      <c r="A2" s="1" t="s">
        <v>22</v>
      </c>
      <c r="B2" s="1" t="s">
        <v>27</v>
      </c>
      <c r="C2">
        <v>10</v>
      </c>
      <c r="D2" t="s">
        <v>32</v>
      </c>
      <c r="E2" t="s">
        <v>37</v>
      </c>
      <c r="F2" t="s">
        <v>42</v>
      </c>
      <c r="G2">
        <v>1</v>
      </c>
      <c r="H2" t="s">
        <v>47</v>
      </c>
      <c r="I2">
        <v>250</v>
      </c>
      <c r="J2">
        <v>1500</v>
      </c>
      <c r="K2" t="s">
        <v>49</v>
      </c>
      <c r="L2" t="s">
        <v>54</v>
      </c>
      <c r="M2" s="2">
        <v>46008</v>
      </c>
      <c r="N2" t="s">
        <v>50</v>
      </c>
      <c r="O2" t="s">
        <v>55</v>
      </c>
      <c r="P2" s="2">
        <v>46010</v>
      </c>
      <c r="Q2" s="5">
        <v>1500</v>
      </c>
      <c r="R2" t="s">
        <v>59</v>
      </c>
      <c r="S2" s="1" t="s">
        <v>61</v>
      </c>
      <c r="T2" s="4">
        <f>Q2/J2</f>
        <v>1</v>
      </c>
      <c r="U2" s="5">
        <v>100</v>
      </c>
      <c r="V2" s="4">
        <f>J2*0.75</f>
        <v>1125</v>
      </c>
    </row>
    <row r="3" spans="1:22" ht="15.75" customHeight="1" x14ac:dyDescent="0.2">
      <c r="A3" s="1" t="s">
        <v>23</v>
      </c>
      <c r="B3" s="1" t="s">
        <v>28</v>
      </c>
      <c r="C3">
        <v>20</v>
      </c>
      <c r="D3" t="s">
        <v>33</v>
      </c>
      <c r="E3" t="s">
        <v>38</v>
      </c>
      <c r="F3" t="s">
        <v>43</v>
      </c>
      <c r="G3">
        <v>2</v>
      </c>
      <c r="H3" t="s">
        <v>48</v>
      </c>
      <c r="I3">
        <v>55</v>
      </c>
      <c r="J3">
        <v>1200</v>
      </c>
      <c r="K3" t="s">
        <v>50</v>
      </c>
      <c r="L3" t="s">
        <v>55</v>
      </c>
      <c r="M3" s="2">
        <v>46009</v>
      </c>
      <c r="N3" t="s">
        <v>51</v>
      </c>
      <c r="O3" t="s">
        <v>56</v>
      </c>
      <c r="P3" s="2">
        <v>46010</v>
      </c>
      <c r="Q3" s="5">
        <v>1300</v>
      </c>
      <c r="R3" t="s">
        <v>59</v>
      </c>
      <c r="S3" s="1" t="s">
        <v>61</v>
      </c>
      <c r="T3" s="4">
        <f t="shared" ref="T3:T9" si="0">Q3/J3</f>
        <v>1.0833333333333333</v>
      </c>
      <c r="U3" s="5">
        <v>100</v>
      </c>
      <c r="V3" s="4">
        <f t="shared" ref="V3:V9" si="1">J3*0.75</f>
        <v>900</v>
      </c>
    </row>
    <row r="4" spans="1:22" ht="15.75" customHeight="1" x14ac:dyDescent="0.2">
      <c r="A4" s="1" t="s">
        <v>24</v>
      </c>
      <c r="B4" s="1" t="s">
        <v>29</v>
      </c>
      <c r="C4">
        <v>30</v>
      </c>
      <c r="D4" t="s">
        <v>34</v>
      </c>
      <c r="E4" t="s">
        <v>39</v>
      </c>
      <c r="F4" t="s">
        <v>44</v>
      </c>
      <c r="G4">
        <v>3</v>
      </c>
      <c r="H4" t="s">
        <v>48</v>
      </c>
      <c r="I4">
        <v>25</v>
      </c>
      <c r="J4">
        <v>850</v>
      </c>
      <c r="K4" t="s">
        <v>51</v>
      </c>
      <c r="L4" t="s">
        <v>56</v>
      </c>
      <c r="M4" s="2">
        <v>46009</v>
      </c>
      <c r="N4" t="s">
        <v>52</v>
      </c>
      <c r="O4" t="s">
        <v>57</v>
      </c>
      <c r="P4" s="2">
        <v>46013</v>
      </c>
      <c r="Q4" s="5">
        <v>950</v>
      </c>
      <c r="R4" t="s">
        <v>59</v>
      </c>
      <c r="S4" s="1" t="s">
        <v>62</v>
      </c>
      <c r="T4" s="4">
        <f t="shared" si="0"/>
        <v>1.1176470588235294</v>
      </c>
      <c r="U4" s="5">
        <v>100</v>
      </c>
      <c r="V4" s="4">
        <f t="shared" si="1"/>
        <v>637.5</v>
      </c>
    </row>
    <row r="5" spans="1:22" ht="15.75" customHeight="1" x14ac:dyDescent="0.2">
      <c r="A5" s="1" t="s">
        <v>25</v>
      </c>
      <c r="B5" s="1" t="s">
        <v>30</v>
      </c>
      <c r="C5">
        <v>40</v>
      </c>
      <c r="D5" t="s">
        <v>35</v>
      </c>
      <c r="E5" t="s">
        <v>40</v>
      </c>
      <c r="F5" t="s">
        <v>45</v>
      </c>
      <c r="G5">
        <v>4</v>
      </c>
      <c r="H5" t="s">
        <v>47</v>
      </c>
      <c r="I5">
        <v>350</v>
      </c>
      <c r="J5">
        <v>650</v>
      </c>
      <c r="K5" t="s">
        <v>52</v>
      </c>
      <c r="L5" t="s">
        <v>57</v>
      </c>
      <c r="M5" s="2">
        <v>46006</v>
      </c>
      <c r="N5" t="s">
        <v>53</v>
      </c>
      <c r="O5" t="s">
        <v>58</v>
      </c>
      <c r="P5" s="2">
        <v>46013</v>
      </c>
      <c r="Q5" s="5">
        <v>650</v>
      </c>
      <c r="R5" t="s">
        <v>59</v>
      </c>
      <c r="S5" s="1" t="s">
        <v>62</v>
      </c>
      <c r="T5" s="4">
        <f t="shared" si="0"/>
        <v>1</v>
      </c>
      <c r="U5" s="5">
        <v>100</v>
      </c>
      <c r="V5" s="4">
        <f t="shared" si="1"/>
        <v>487.5</v>
      </c>
    </row>
    <row r="6" spans="1:22" ht="15.75" customHeight="1" x14ac:dyDescent="0.2">
      <c r="A6" s="1" t="s">
        <v>26</v>
      </c>
      <c r="B6" s="1" t="s">
        <v>31</v>
      </c>
      <c r="C6">
        <v>50</v>
      </c>
      <c r="D6" t="s">
        <v>36</v>
      </c>
      <c r="E6" t="s">
        <v>41</v>
      </c>
      <c r="F6" t="s">
        <v>46</v>
      </c>
      <c r="G6">
        <v>5</v>
      </c>
      <c r="H6" t="s">
        <v>47</v>
      </c>
      <c r="I6">
        <v>450</v>
      </c>
      <c r="J6">
        <v>1350</v>
      </c>
      <c r="K6" t="s">
        <v>53</v>
      </c>
      <c r="L6" t="s">
        <v>58</v>
      </c>
      <c r="M6" s="2">
        <v>46006</v>
      </c>
      <c r="N6" t="s">
        <v>49</v>
      </c>
      <c r="O6" t="s">
        <v>54</v>
      </c>
      <c r="P6" s="2">
        <v>46014</v>
      </c>
      <c r="Q6" s="5">
        <v>1000</v>
      </c>
      <c r="R6" t="s">
        <v>60</v>
      </c>
      <c r="S6" s="1" t="s">
        <v>62</v>
      </c>
      <c r="T6" s="4">
        <f t="shared" si="0"/>
        <v>0.7407407407407407</v>
      </c>
      <c r="U6" s="5">
        <v>100</v>
      </c>
      <c r="V6" s="4">
        <f t="shared" si="1"/>
        <v>1012.5</v>
      </c>
    </row>
    <row r="7" spans="1:22" ht="15.75" customHeight="1" x14ac:dyDescent="0.2">
      <c r="A7" s="1" t="s">
        <v>22</v>
      </c>
      <c r="B7" s="1" t="s">
        <v>27</v>
      </c>
      <c r="C7">
        <v>10</v>
      </c>
      <c r="D7" t="s">
        <v>32</v>
      </c>
      <c r="E7" t="s">
        <v>37</v>
      </c>
      <c r="F7" t="s">
        <v>42</v>
      </c>
      <c r="G7">
        <v>1</v>
      </c>
      <c r="H7" t="s">
        <v>47</v>
      </c>
      <c r="I7">
        <v>250</v>
      </c>
      <c r="J7">
        <v>1500</v>
      </c>
      <c r="K7" t="s">
        <v>49</v>
      </c>
      <c r="L7" t="s">
        <v>54</v>
      </c>
      <c r="M7" s="2">
        <v>46008</v>
      </c>
      <c r="N7" t="s">
        <v>50</v>
      </c>
      <c r="O7" t="s">
        <v>55</v>
      </c>
      <c r="P7" s="2">
        <v>46010</v>
      </c>
      <c r="Q7" s="5">
        <v>1500</v>
      </c>
      <c r="R7" t="s">
        <v>59</v>
      </c>
      <c r="S7" s="1" t="s">
        <v>61</v>
      </c>
      <c r="T7" s="4">
        <f t="shared" si="0"/>
        <v>1</v>
      </c>
      <c r="U7" s="5">
        <v>100</v>
      </c>
      <c r="V7" s="4">
        <f t="shared" si="1"/>
        <v>1125</v>
      </c>
    </row>
    <row r="8" spans="1:22" ht="15.75" customHeight="1" x14ac:dyDescent="0.2">
      <c r="A8" s="1" t="s">
        <v>22</v>
      </c>
      <c r="B8" s="1" t="s">
        <v>27</v>
      </c>
      <c r="C8">
        <v>10</v>
      </c>
      <c r="D8" t="s">
        <v>32</v>
      </c>
      <c r="E8" t="s">
        <v>37</v>
      </c>
      <c r="F8" t="s">
        <v>42</v>
      </c>
      <c r="G8">
        <v>1</v>
      </c>
      <c r="H8" t="s">
        <v>47</v>
      </c>
      <c r="I8">
        <v>250</v>
      </c>
      <c r="J8">
        <v>1500</v>
      </c>
      <c r="K8" t="s">
        <v>49</v>
      </c>
      <c r="L8" t="s">
        <v>54</v>
      </c>
      <c r="M8" s="2">
        <v>46008</v>
      </c>
      <c r="N8" t="s">
        <v>50</v>
      </c>
      <c r="O8" t="s">
        <v>55</v>
      </c>
      <c r="P8" s="2">
        <v>46010</v>
      </c>
      <c r="Q8" s="5">
        <v>1500</v>
      </c>
      <c r="R8" t="s">
        <v>59</v>
      </c>
      <c r="S8" s="1" t="s">
        <v>61</v>
      </c>
      <c r="T8" s="4">
        <f t="shared" si="0"/>
        <v>1</v>
      </c>
      <c r="U8" s="5">
        <v>100</v>
      </c>
      <c r="V8" s="4">
        <f t="shared" si="1"/>
        <v>1125</v>
      </c>
    </row>
    <row r="9" spans="1:22" ht="15.75" customHeight="1" x14ac:dyDescent="0.2">
      <c r="A9" s="1" t="s">
        <v>22</v>
      </c>
      <c r="B9" s="1" t="s">
        <v>27</v>
      </c>
      <c r="C9">
        <v>10</v>
      </c>
      <c r="D9" t="s">
        <v>32</v>
      </c>
      <c r="E9" t="s">
        <v>37</v>
      </c>
      <c r="F9" t="s">
        <v>42</v>
      </c>
      <c r="G9">
        <v>1</v>
      </c>
      <c r="H9" t="s">
        <v>47</v>
      </c>
      <c r="I9">
        <v>250</v>
      </c>
      <c r="J9">
        <v>1500</v>
      </c>
      <c r="K9" t="s">
        <v>49</v>
      </c>
      <c r="L9" t="s">
        <v>54</v>
      </c>
      <c r="M9" s="2">
        <v>46008</v>
      </c>
      <c r="N9" t="s">
        <v>50</v>
      </c>
      <c r="O9" t="s">
        <v>55</v>
      </c>
      <c r="P9" s="2">
        <v>46010</v>
      </c>
      <c r="Q9" s="5">
        <v>1500</v>
      </c>
      <c r="R9" t="s">
        <v>59</v>
      </c>
      <c r="S9" s="1" t="s">
        <v>61</v>
      </c>
      <c r="T9" s="4">
        <f t="shared" si="0"/>
        <v>1</v>
      </c>
      <c r="U9" s="5">
        <v>100</v>
      </c>
      <c r="V9" s="4">
        <f t="shared" si="1"/>
        <v>1125</v>
      </c>
    </row>
    <row r="10" spans="1:22" ht="15.75" customHeight="1" x14ac:dyDescent="0.2">
      <c r="A10" s="1" t="s">
        <v>23</v>
      </c>
      <c r="B10" s="1" t="s">
        <v>28</v>
      </c>
      <c r="C10">
        <v>20</v>
      </c>
      <c r="D10" t="s">
        <v>33</v>
      </c>
      <c r="E10" t="s">
        <v>38</v>
      </c>
      <c r="F10" t="s">
        <v>43</v>
      </c>
      <c r="G10">
        <v>2</v>
      </c>
      <c r="H10" t="s">
        <v>48</v>
      </c>
      <c r="I10">
        <v>55</v>
      </c>
      <c r="J10">
        <v>1200</v>
      </c>
      <c r="K10" t="s">
        <v>50</v>
      </c>
      <c r="L10" t="s">
        <v>55</v>
      </c>
      <c r="M10" s="2">
        <v>46009</v>
      </c>
      <c r="N10" t="s">
        <v>51</v>
      </c>
      <c r="O10" t="s">
        <v>56</v>
      </c>
      <c r="P10" s="2">
        <v>46010</v>
      </c>
      <c r="Q10" s="5">
        <v>1300</v>
      </c>
      <c r="R10" t="s">
        <v>59</v>
      </c>
      <c r="S10" s="1" t="s">
        <v>61</v>
      </c>
      <c r="T10" s="4">
        <f t="shared" ref="T10:T37" si="2">Q10/J10</f>
        <v>1.0833333333333333</v>
      </c>
      <c r="U10" s="5">
        <v>100</v>
      </c>
      <c r="V10" s="4">
        <f t="shared" ref="V10:V37" si="3">J10*0.75</f>
        <v>900</v>
      </c>
    </row>
    <row r="11" spans="1:22" ht="15.75" customHeight="1" x14ac:dyDescent="0.2">
      <c r="A11" s="1" t="s">
        <v>24</v>
      </c>
      <c r="B11" s="1" t="s">
        <v>29</v>
      </c>
      <c r="C11">
        <v>30</v>
      </c>
      <c r="D11" t="s">
        <v>34</v>
      </c>
      <c r="E11" t="s">
        <v>39</v>
      </c>
      <c r="F11" t="s">
        <v>44</v>
      </c>
      <c r="G11">
        <v>3</v>
      </c>
      <c r="H11" t="s">
        <v>48</v>
      </c>
      <c r="I11">
        <v>25</v>
      </c>
      <c r="J11">
        <v>850</v>
      </c>
      <c r="K11" t="s">
        <v>51</v>
      </c>
      <c r="L11" t="s">
        <v>56</v>
      </c>
      <c r="M11" s="2">
        <v>46009</v>
      </c>
      <c r="N11" t="s">
        <v>52</v>
      </c>
      <c r="O11" t="s">
        <v>57</v>
      </c>
      <c r="P11" s="2">
        <v>46013</v>
      </c>
      <c r="Q11" s="5">
        <v>950</v>
      </c>
      <c r="R11" t="s">
        <v>59</v>
      </c>
      <c r="S11" s="1" t="s">
        <v>62</v>
      </c>
      <c r="T11" s="4">
        <f t="shared" si="2"/>
        <v>1.1176470588235294</v>
      </c>
      <c r="U11" s="5">
        <v>100</v>
      </c>
      <c r="V11" s="4">
        <f t="shared" si="3"/>
        <v>637.5</v>
      </c>
    </row>
    <row r="12" spans="1:22" ht="15.75" customHeight="1" x14ac:dyDescent="0.2">
      <c r="A12" s="1" t="s">
        <v>24</v>
      </c>
      <c r="B12" s="1" t="s">
        <v>29</v>
      </c>
      <c r="C12">
        <v>30</v>
      </c>
      <c r="D12" t="s">
        <v>34</v>
      </c>
      <c r="E12" t="s">
        <v>39</v>
      </c>
      <c r="F12" t="s">
        <v>44</v>
      </c>
      <c r="G12">
        <v>3</v>
      </c>
      <c r="H12" t="s">
        <v>48</v>
      </c>
      <c r="I12">
        <v>25</v>
      </c>
      <c r="J12">
        <v>850</v>
      </c>
      <c r="K12" t="s">
        <v>51</v>
      </c>
      <c r="L12" t="s">
        <v>56</v>
      </c>
      <c r="M12" s="2">
        <v>46009</v>
      </c>
      <c r="N12" t="s">
        <v>52</v>
      </c>
      <c r="O12" t="s">
        <v>57</v>
      </c>
      <c r="P12" s="2">
        <v>46013</v>
      </c>
      <c r="Q12" s="5">
        <v>950</v>
      </c>
      <c r="R12" t="s">
        <v>59</v>
      </c>
      <c r="S12" s="1" t="s">
        <v>62</v>
      </c>
      <c r="T12" s="4">
        <f t="shared" si="2"/>
        <v>1.1176470588235294</v>
      </c>
      <c r="U12" s="5">
        <v>100</v>
      </c>
      <c r="V12" s="4">
        <f t="shared" si="3"/>
        <v>637.5</v>
      </c>
    </row>
    <row r="13" spans="1:22" ht="15.75" customHeight="1" x14ac:dyDescent="0.2">
      <c r="A13" s="1" t="s">
        <v>24</v>
      </c>
      <c r="B13" s="1" t="s">
        <v>29</v>
      </c>
      <c r="C13">
        <v>30</v>
      </c>
      <c r="D13" t="s">
        <v>34</v>
      </c>
      <c r="E13" t="s">
        <v>39</v>
      </c>
      <c r="F13" t="s">
        <v>44</v>
      </c>
      <c r="G13">
        <v>3</v>
      </c>
      <c r="H13" t="s">
        <v>48</v>
      </c>
      <c r="I13">
        <v>25</v>
      </c>
      <c r="J13">
        <v>850</v>
      </c>
      <c r="K13" t="s">
        <v>51</v>
      </c>
      <c r="L13" t="s">
        <v>56</v>
      </c>
      <c r="M13" s="2">
        <v>46009</v>
      </c>
      <c r="N13" t="s">
        <v>52</v>
      </c>
      <c r="O13" t="s">
        <v>57</v>
      </c>
      <c r="P13" s="2">
        <v>46013</v>
      </c>
      <c r="Q13" s="5">
        <v>950</v>
      </c>
      <c r="R13" t="s">
        <v>59</v>
      </c>
      <c r="S13" s="1" t="s">
        <v>62</v>
      </c>
      <c r="T13" s="4">
        <f t="shared" si="2"/>
        <v>1.1176470588235294</v>
      </c>
      <c r="U13" s="5">
        <v>100</v>
      </c>
      <c r="V13" s="4">
        <f t="shared" si="3"/>
        <v>637.5</v>
      </c>
    </row>
    <row r="14" spans="1:22" ht="15.75" customHeight="1" x14ac:dyDescent="0.2">
      <c r="A14" s="1" t="s">
        <v>24</v>
      </c>
      <c r="B14" s="1" t="s">
        <v>29</v>
      </c>
      <c r="C14">
        <v>30</v>
      </c>
      <c r="D14" t="s">
        <v>34</v>
      </c>
      <c r="E14" t="s">
        <v>39</v>
      </c>
      <c r="F14" t="s">
        <v>44</v>
      </c>
      <c r="G14">
        <v>3</v>
      </c>
      <c r="H14" t="s">
        <v>48</v>
      </c>
      <c r="I14">
        <v>25</v>
      </c>
      <c r="J14">
        <v>850</v>
      </c>
      <c r="K14" t="s">
        <v>51</v>
      </c>
      <c r="L14" t="s">
        <v>56</v>
      </c>
      <c r="M14" s="2">
        <v>46009</v>
      </c>
      <c r="N14" t="s">
        <v>52</v>
      </c>
      <c r="O14" t="s">
        <v>57</v>
      </c>
      <c r="P14" s="2">
        <v>46013</v>
      </c>
      <c r="Q14" s="5">
        <v>950</v>
      </c>
      <c r="R14" t="s">
        <v>59</v>
      </c>
      <c r="S14" s="1" t="s">
        <v>62</v>
      </c>
      <c r="T14" s="4">
        <f t="shared" si="2"/>
        <v>1.1176470588235294</v>
      </c>
      <c r="U14" s="5">
        <v>100</v>
      </c>
      <c r="V14" s="4">
        <f t="shared" si="3"/>
        <v>637.5</v>
      </c>
    </row>
    <row r="15" spans="1:22" ht="15.75" customHeight="1" x14ac:dyDescent="0.2">
      <c r="A15" s="1" t="s">
        <v>24</v>
      </c>
      <c r="B15" s="1" t="s">
        <v>29</v>
      </c>
      <c r="C15">
        <v>30</v>
      </c>
      <c r="D15" t="s">
        <v>34</v>
      </c>
      <c r="E15" t="s">
        <v>39</v>
      </c>
      <c r="F15" t="s">
        <v>44</v>
      </c>
      <c r="G15">
        <v>3</v>
      </c>
      <c r="H15" t="s">
        <v>48</v>
      </c>
      <c r="I15">
        <v>25</v>
      </c>
      <c r="J15">
        <v>850</v>
      </c>
      <c r="K15" t="s">
        <v>51</v>
      </c>
      <c r="L15" t="s">
        <v>56</v>
      </c>
      <c r="M15" s="2">
        <v>46009</v>
      </c>
      <c r="N15" t="s">
        <v>52</v>
      </c>
      <c r="O15" t="s">
        <v>57</v>
      </c>
      <c r="P15" s="2">
        <v>46013</v>
      </c>
      <c r="Q15" s="5">
        <v>950</v>
      </c>
      <c r="R15" t="s">
        <v>59</v>
      </c>
      <c r="S15" s="1" t="s">
        <v>62</v>
      </c>
      <c r="T15" s="4">
        <f t="shared" si="2"/>
        <v>1.1176470588235294</v>
      </c>
      <c r="U15" s="5">
        <v>100</v>
      </c>
      <c r="V15" s="4">
        <f t="shared" si="3"/>
        <v>637.5</v>
      </c>
    </row>
    <row r="16" spans="1:22" ht="15.75" customHeight="1" x14ac:dyDescent="0.2">
      <c r="A16" s="1" t="s">
        <v>25</v>
      </c>
      <c r="B16" s="1" t="s">
        <v>30</v>
      </c>
      <c r="C16">
        <v>40</v>
      </c>
      <c r="D16" t="s">
        <v>35</v>
      </c>
      <c r="E16" t="s">
        <v>40</v>
      </c>
      <c r="F16" t="s">
        <v>45</v>
      </c>
      <c r="G16">
        <v>4</v>
      </c>
      <c r="H16" t="s">
        <v>47</v>
      </c>
      <c r="I16">
        <v>350</v>
      </c>
      <c r="J16">
        <v>650</v>
      </c>
      <c r="K16" t="s">
        <v>52</v>
      </c>
      <c r="L16" t="s">
        <v>57</v>
      </c>
      <c r="M16" s="2">
        <v>46006</v>
      </c>
      <c r="N16" t="s">
        <v>53</v>
      </c>
      <c r="O16" t="s">
        <v>58</v>
      </c>
      <c r="P16" s="2">
        <v>46013</v>
      </c>
      <c r="Q16" s="5">
        <v>650</v>
      </c>
      <c r="R16" t="s">
        <v>59</v>
      </c>
      <c r="S16" s="1" t="s">
        <v>62</v>
      </c>
      <c r="T16" s="4">
        <f t="shared" si="2"/>
        <v>1</v>
      </c>
      <c r="U16" s="5">
        <v>100</v>
      </c>
      <c r="V16" s="4">
        <f t="shared" si="3"/>
        <v>487.5</v>
      </c>
    </row>
    <row r="17" spans="1:22" ht="15.75" customHeight="1" x14ac:dyDescent="0.2">
      <c r="A17" s="1" t="s">
        <v>25</v>
      </c>
      <c r="B17" s="1" t="s">
        <v>30</v>
      </c>
      <c r="C17">
        <v>40</v>
      </c>
      <c r="D17" t="s">
        <v>35</v>
      </c>
      <c r="E17" t="s">
        <v>40</v>
      </c>
      <c r="F17" t="s">
        <v>45</v>
      </c>
      <c r="G17">
        <v>4</v>
      </c>
      <c r="H17" t="s">
        <v>47</v>
      </c>
      <c r="I17">
        <v>350</v>
      </c>
      <c r="J17">
        <v>650</v>
      </c>
      <c r="K17" t="s">
        <v>52</v>
      </c>
      <c r="L17" t="s">
        <v>57</v>
      </c>
      <c r="M17" s="2">
        <v>46006</v>
      </c>
      <c r="N17" t="s">
        <v>53</v>
      </c>
      <c r="O17" t="s">
        <v>58</v>
      </c>
      <c r="P17" s="2">
        <v>46013</v>
      </c>
      <c r="Q17" s="5">
        <v>650</v>
      </c>
      <c r="R17" t="s">
        <v>59</v>
      </c>
      <c r="S17" s="1" t="s">
        <v>62</v>
      </c>
      <c r="T17" s="4">
        <f t="shared" si="2"/>
        <v>1</v>
      </c>
      <c r="U17" s="5">
        <v>100</v>
      </c>
      <c r="V17" s="4">
        <f t="shared" si="3"/>
        <v>487.5</v>
      </c>
    </row>
    <row r="18" spans="1:22" ht="15.75" customHeight="1" x14ac:dyDescent="0.2">
      <c r="A18" s="1" t="s">
        <v>25</v>
      </c>
      <c r="B18" s="1" t="s">
        <v>30</v>
      </c>
      <c r="C18">
        <v>40</v>
      </c>
      <c r="D18" t="s">
        <v>35</v>
      </c>
      <c r="E18" t="s">
        <v>40</v>
      </c>
      <c r="F18" t="s">
        <v>45</v>
      </c>
      <c r="G18">
        <v>4</v>
      </c>
      <c r="H18" t="s">
        <v>47</v>
      </c>
      <c r="I18">
        <v>350</v>
      </c>
      <c r="J18">
        <v>650</v>
      </c>
      <c r="K18" t="s">
        <v>52</v>
      </c>
      <c r="L18" t="s">
        <v>57</v>
      </c>
      <c r="M18" s="2">
        <v>46006</v>
      </c>
      <c r="N18" t="s">
        <v>53</v>
      </c>
      <c r="O18" t="s">
        <v>58</v>
      </c>
      <c r="P18" s="2">
        <v>46013</v>
      </c>
      <c r="Q18" s="5">
        <v>650</v>
      </c>
      <c r="R18" t="s">
        <v>59</v>
      </c>
      <c r="S18" s="1" t="s">
        <v>62</v>
      </c>
      <c r="T18" s="4">
        <f t="shared" si="2"/>
        <v>1</v>
      </c>
      <c r="U18" s="5">
        <v>100</v>
      </c>
      <c r="V18" s="4">
        <f t="shared" si="3"/>
        <v>487.5</v>
      </c>
    </row>
    <row r="19" spans="1:22" ht="15.75" customHeight="1" x14ac:dyDescent="0.2">
      <c r="A19" s="1" t="s">
        <v>25</v>
      </c>
      <c r="B19" s="1" t="s">
        <v>30</v>
      </c>
      <c r="C19">
        <v>40</v>
      </c>
      <c r="D19" t="s">
        <v>35</v>
      </c>
      <c r="E19" t="s">
        <v>40</v>
      </c>
      <c r="F19" t="s">
        <v>45</v>
      </c>
      <c r="G19">
        <v>4</v>
      </c>
      <c r="H19" t="s">
        <v>47</v>
      </c>
      <c r="I19">
        <v>350</v>
      </c>
      <c r="J19">
        <v>650</v>
      </c>
      <c r="K19" t="s">
        <v>52</v>
      </c>
      <c r="L19" t="s">
        <v>57</v>
      </c>
      <c r="M19" s="2">
        <v>46006</v>
      </c>
      <c r="N19" t="s">
        <v>53</v>
      </c>
      <c r="O19" t="s">
        <v>58</v>
      </c>
      <c r="P19" s="2">
        <v>46013</v>
      </c>
      <c r="Q19" s="5">
        <v>650</v>
      </c>
      <c r="R19" t="s">
        <v>59</v>
      </c>
      <c r="S19" s="1" t="s">
        <v>62</v>
      </c>
      <c r="T19" s="4">
        <f t="shared" si="2"/>
        <v>1</v>
      </c>
      <c r="U19" s="5">
        <v>100</v>
      </c>
      <c r="V19" s="4">
        <f t="shared" si="3"/>
        <v>487.5</v>
      </c>
    </row>
    <row r="20" spans="1:22" ht="15.75" customHeight="1" x14ac:dyDescent="0.2">
      <c r="A20" s="1" t="s">
        <v>25</v>
      </c>
      <c r="B20" s="1" t="s">
        <v>30</v>
      </c>
      <c r="C20">
        <v>40</v>
      </c>
      <c r="D20" t="s">
        <v>35</v>
      </c>
      <c r="E20" t="s">
        <v>40</v>
      </c>
      <c r="F20" t="s">
        <v>45</v>
      </c>
      <c r="G20">
        <v>4</v>
      </c>
      <c r="H20" t="s">
        <v>47</v>
      </c>
      <c r="I20">
        <v>350</v>
      </c>
      <c r="J20">
        <v>650</v>
      </c>
      <c r="K20" t="s">
        <v>52</v>
      </c>
      <c r="L20" t="s">
        <v>57</v>
      </c>
      <c r="M20" s="2">
        <v>46006</v>
      </c>
      <c r="N20" t="s">
        <v>53</v>
      </c>
      <c r="O20" t="s">
        <v>58</v>
      </c>
      <c r="P20" s="2">
        <v>46013</v>
      </c>
      <c r="Q20" s="5">
        <v>650</v>
      </c>
      <c r="R20" t="s">
        <v>59</v>
      </c>
      <c r="S20" s="1" t="s">
        <v>62</v>
      </c>
      <c r="T20" s="4">
        <f t="shared" si="2"/>
        <v>1</v>
      </c>
      <c r="U20" s="5">
        <v>100</v>
      </c>
      <c r="V20" s="4">
        <f t="shared" si="3"/>
        <v>487.5</v>
      </c>
    </row>
    <row r="21" spans="1:22" ht="15.75" customHeight="1" x14ac:dyDescent="0.2">
      <c r="A21" s="1" t="s">
        <v>25</v>
      </c>
      <c r="B21" s="1" t="s">
        <v>30</v>
      </c>
      <c r="C21">
        <v>40</v>
      </c>
      <c r="D21" t="s">
        <v>35</v>
      </c>
      <c r="E21" t="s">
        <v>40</v>
      </c>
      <c r="F21" t="s">
        <v>45</v>
      </c>
      <c r="G21">
        <v>4</v>
      </c>
      <c r="H21" t="s">
        <v>47</v>
      </c>
      <c r="I21">
        <v>350</v>
      </c>
      <c r="J21">
        <v>650</v>
      </c>
      <c r="K21" t="s">
        <v>52</v>
      </c>
      <c r="L21" t="s">
        <v>57</v>
      </c>
      <c r="M21" s="2">
        <v>46006</v>
      </c>
      <c r="N21" t="s">
        <v>53</v>
      </c>
      <c r="O21" t="s">
        <v>58</v>
      </c>
      <c r="P21" s="2">
        <v>46013</v>
      </c>
      <c r="Q21" s="5">
        <v>650</v>
      </c>
      <c r="R21" t="s">
        <v>59</v>
      </c>
      <c r="S21" s="1" t="s">
        <v>62</v>
      </c>
      <c r="T21" s="4">
        <f t="shared" si="2"/>
        <v>1</v>
      </c>
      <c r="U21" s="5">
        <v>100</v>
      </c>
      <c r="V21" s="4">
        <f t="shared" si="3"/>
        <v>487.5</v>
      </c>
    </row>
    <row r="22" spans="1:22" ht="15.75" customHeight="1" x14ac:dyDescent="0.2">
      <c r="A22" s="1" t="s">
        <v>25</v>
      </c>
      <c r="B22" s="1" t="s">
        <v>30</v>
      </c>
      <c r="C22">
        <v>40</v>
      </c>
      <c r="D22" t="s">
        <v>35</v>
      </c>
      <c r="E22" t="s">
        <v>40</v>
      </c>
      <c r="F22" t="s">
        <v>45</v>
      </c>
      <c r="G22">
        <v>4</v>
      </c>
      <c r="H22" t="s">
        <v>47</v>
      </c>
      <c r="I22">
        <v>350</v>
      </c>
      <c r="J22">
        <v>650</v>
      </c>
      <c r="K22" t="s">
        <v>52</v>
      </c>
      <c r="L22" t="s">
        <v>57</v>
      </c>
      <c r="M22" s="2">
        <v>46006</v>
      </c>
      <c r="N22" t="s">
        <v>53</v>
      </c>
      <c r="O22" t="s">
        <v>58</v>
      </c>
      <c r="P22" s="2">
        <v>46013</v>
      </c>
      <c r="Q22" s="5">
        <v>650</v>
      </c>
      <c r="R22" t="s">
        <v>59</v>
      </c>
      <c r="S22" s="1" t="s">
        <v>62</v>
      </c>
      <c r="T22" s="4">
        <f t="shared" si="2"/>
        <v>1</v>
      </c>
      <c r="U22" s="5">
        <v>100</v>
      </c>
      <c r="V22" s="4">
        <f t="shared" si="3"/>
        <v>487.5</v>
      </c>
    </row>
    <row r="23" spans="1:22" ht="15.75" customHeight="1" x14ac:dyDescent="0.2">
      <c r="A23" s="1" t="s">
        <v>25</v>
      </c>
      <c r="B23" s="1" t="s">
        <v>30</v>
      </c>
      <c r="C23">
        <v>40</v>
      </c>
      <c r="D23" t="s">
        <v>35</v>
      </c>
      <c r="E23" t="s">
        <v>40</v>
      </c>
      <c r="F23" t="s">
        <v>45</v>
      </c>
      <c r="G23">
        <v>4</v>
      </c>
      <c r="H23" t="s">
        <v>47</v>
      </c>
      <c r="I23">
        <v>350</v>
      </c>
      <c r="J23">
        <v>650</v>
      </c>
      <c r="K23" t="s">
        <v>52</v>
      </c>
      <c r="L23" t="s">
        <v>57</v>
      </c>
      <c r="M23" s="2">
        <v>46006</v>
      </c>
      <c r="N23" t="s">
        <v>53</v>
      </c>
      <c r="O23" t="s">
        <v>58</v>
      </c>
      <c r="P23" s="2">
        <v>46013</v>
      </c>
      <c r="Q23" s="5">
        <v>650</v>
      </c>
      <c r="R23" t="s">
        <v>59</v>
      </c>
      <c r="S23" s="1" t="s">
        <v>62</v>
      </c>
      <c r="T23" s="4">
        <f t="shared" si="2"/>
        <v>1</v>
      </c>
      <c r="U23" s="5">
        <v>100</v>
      </c>
      <c r="V23" s="4">
        <f t="shared" si="3"/>
        <v>487.5</v>
      </c>
    </row>
    <row r="24" spans="1:22" ht="15.75" customHeight="1" x14ac:dyDescent="0.2">
      <c r="A24" s="1" t="s">
        <v>26</v>
      </c>
      <c r="B24" s="1" t="s">
        <v>31</v>
      </c>
      <c r="C24">
        <v>50</v>
      </c>
      <c r="D24" t="s">
        <v>36</v>
      </c>
      <c r="E24" t="s">
        <v>41</v>
      </c>
      <c r="F24" t="s">
        <v>46</v>
      </c>
      <c r="G24">
        <v>5</v>
      </c>
      <c r="H24" t="s">
        <v>47</v>
      </c>
      <c r="I24">
        <v>450</v>
      </c>
      <c r="J24">
        <v>1350</v>
      </c>
      <c r="K24" t="s">
        <v>53</v>
      </c>
      <c r="L24" t="s">
        <v>58</v>
      </c>
      <c r="M24" s="2">
        <v>46006</v>
      </c>
      <c r="N24" t="s">
        <v>49</v>
      </c>
      <c r="O24" t="s">
        <v>54</v>
      </c>
      <c r="P24" s="2">
        <v>46014</v>
      </c>
      <c r="Q24" s="5">
        <v>1000</v>
      </c>
      <c r="R24" t="s">
        <v>60</v>
      </c>
      <c r="S24" s="1" t="s">
        <v>62</v>
      </c>
      <c r="T24" s="4">
        <f t="shared" si="2"/>
        <v>0.7407407407407407</v>
      </c>
      <c r="U24" s="5">
        <v>100</v>
      </c>
      <c r="V24" s="4">
        <f t="shared" si="3"/>
        <v>1012.5</v>
      </c>
    </row>
    <row r="25" spans="1:22" ht="15.75" customHeight="1" x14ac:dyDescent="0.2">
      <c r="A25" s="1" t="s">
        <v>26</v>
      </c>
      <c r="B25" s="1" t="s">
        <v>31</v>
      </c>
      <c r="C25">
        <v>50</v>
      </c>
      <c r="D25" t="s">
        <v>36</v>
      </c>
      <c r="E25" t="s">
        <v>41</v>
      </c>
      <c r="F25" t="s">
        <v>46</v>
      </c>
      <c r="G25">
        <v>5</v>
      </c>
      <c r="H25" t="s">
        <v>47</v>
      </c>
      <c r="I25">
        <v>450</v>
      </c>
      <c r="J25">
        <v>1350</v>
      </c>
      <c r="K25" t="s">
        <v>53</v>
      </c>
      <c r="L25" t="s">
        <v>58</v>
      </c>
      <c r="M25" s="2">
        <v>46006</v>
      </c>
      <c r="N25" t="s">
        <v>49</v>
      </c>
      <c r="O25" t="s">
        <v>54</v>
      </c>
      <c r="P25" s="2">
        <v>46014</v>
      </c>
      <c r="Q25" s="5">
        <v>1000</v>
      </c>
      <c r="R25" t="s">
        <v>60</v>
      </c>
      <c r="S25" s="1" t="s">
        <v>62</v>
      </c>
      <c r="T25" s="4">
        <f t="shared" si="2"/>
        <v>0.7407407407407407</v>
      </c>
      <c r="U25" s="5">
        <v>100</v>
      </c>
      <c r="V25" s="4">
        <f t="shared" si="3"/>
        <v>1012.5</v>
      </c>
    </row>
    <row r="26" spans="1:22" ht="15.75" customHeight="1" x14ac:dyDescent="0.2">
      <c r="A26" s="1" t="s">
        <v>26</v>
      </c>
      <c r="B26" s="1" t="s">
        <v>31</v>
      </c>
      <c r="C26">
        <v>50</v>
      </c>
      <c r="D26" t="s">
        <v>36</v>
      </c>
      <c r="E26" t="s">
        <v>41</v>
      </c>
      <c r="F26" t="s">
        <v>46</v>
      </c>
      <c r="G26">
        <v>5</v>
      </c>
      <c r="H26" t="s">
        <v>47</v>
      </c>
      <c r="I26">
        <v>450</v>
      </c>
      <c r="J26">
        <v>1350</v>
      </c>
      <c r="K26" t="s">
        <v>53</v>
      </c>
      <c r="L26" t="s">
        <v>58</v>
      </c>
      <c r="M26" s="2">
        <v>46006</v>
      </c>
      <c r="N26" t="s">
        <v>49</v>
      </c>
      <c r="O26" t="s">
        <v>54</v>
      </c>
      <c r="P26" s="2">
        <v>46014</v>
      </c>
      <c r="Q26" s="5">
        <v>1000</v>
      </c>
      <c r="R26" t="s">
        <v>60</v>
      </c>
      <c r="S26" s="1" t="s">
        <v>62</v>
      </c>
      <c r="T26" s="4">
        <f t="shared" si="2"/>
        <v>0.7407407407407407</v>
      </c>
      <c r="U26" s="5">
        <v>100</v>
      </c>
      <c r="V26" s="4">
        <f t="shared" si="3"/>
        <v>1012.5</v>
      </c>
    </row>
    <row r="27" spans="1:22" ht="15.75" customHeight="1" x14ac:dyDescent="0.2">
      <c r="A27" s="1" t="s">
        <v>26</v>
      </c>
      <c r="B27" s="1" t="s">
        <v>31</v>
      </c>
      <c r="C27">
        <v>50</v>
      </c>
      <c r="D27" t="s">
        <v>36</v>
      </c>
      <c r="E27" t="s">
        <v>41</v>
      </c>
      <c r="F27" t="s">
        <v>46</v>
      </c>
      <c r="G27">
        <v>5</v>
      </c>
      <c r="H27" t="s">
        <v>47</v>
      </c>
      <c r="I27">
        <v>450</v>
      </c>
      <c r="J27">
        <v>1350</v>
      </c>
      <c r="K27" t="s">
        <v>53</v>
      </c>
      <c r="L27" t="s">
        <v>58</v>
      </c>
      <c r="M27" s="2">
        <v>46006</v>
      </c>
      <c r="N27" t="s">
        <v>49</v>
      </c>
      <c r="O27" t="s">
        <v>54</v>
      </c>
      <c r="P27" s="2">
        <v>46014</v>
      </c>
      <c r="Q27" s="5">
        <v>1000</v>
      </c>
      <c r="R27" t="s">
        <v>60</v>
      </c>
      <c r="S27" s="1" t="s">
        <v>62</v>
      </c>
      <c r="T27" s="4">
        <f t="shared" si="2"/>
        <v>0.7407407407407407</v>
      </c>
      <c r="U27" s="5">
        <v>100</v>
      </c>
      <c r="V27" s="4">
        <f t="shared" si="3"/>
        <v>1012.5</v>
      </c>
    </row>
    <row r="28" spans="1:22" ht="15.75" customHeight="1" x14ac:dyDescent="0.2">
      <c r="A28" s="1" t="s">
        <v>26</v>
      </c>
      <c r="B28" s="1" t="s">
        <v>31</v>
      </c>
      <c r="C28">
        <v>50</v>
      </c>
      <c r="D28" t="s">
        <v>36</v>
      </c>
      <c r="E28" t="s">
        <v>41</v>
      </c>
      <c r="F28" t="s">
        <v>46</v>
      </c>
      <c r="G28">
        <v>5</v>
      </c>
      <c r="H28" t="s">
        <v>47</v>
      </c>
      <c r="I28">
        <v>450</v>
      </c>
      <c r="J28">
        <v>1350</v>
      </c>
      <c r="K28" t="s">
        <v>53</v>
      </c>
      <c r="L28" t="s">
        <v>58</v>
      </c>
      <c r="M28" s="2">
        <v>46006</v>
      </c>
      <c r="N28" t="s">
        <v>49</v>
      </c>
      <c r="O28" t="s">
        <v>54</v>
      </c>
      <c r="P28" s="2">
        <v>46014</v>
      </c>
      <c r="Q28" s="5">
        <v>1000</v>
      </c>
      <c r="R28" t="s">
        <v>60</v>
      </c>
      <c r="S28" s="1" t="s">
        <v>62</v>
      </c>
      <c r="T28" s="4">
        <f t="shared" si="2"/>
        <v>0.7407407407407407</v>
      </c>
      <c r="U28" s="5">
        <v>100</v>
      </c>
      <c r="V28" s="4">
        <f t="shared" si="3"/>
        <v>1012.5</v>
      </c>
    </row>
    <row r="29" spans="1:22" ht="15.75" customHeight="1" x14ac:dyDescent="0.2">
      <c r="A29" s="1" t="s">
        <v>26</v>
      </c>
      <c r="B29" s="1" t="s">
        <v>31</v>
      </c>
      <c r="C29">
        <v>50</v>
      </c>
      <c r="D29" t="s">
        <v>36</v>
      </c>
      <c r="E29" t="s">
        <v>41</v>
      </c>
      <c r="F29" t="s">
        <v>46</v>
      </c>
      <c r="G29">
        <v>5</v>
      </c>
      <c r="H29" t="s">
        <v>47</v>
      </c>
      <c r="I29">
        <v>450</v>
      </c>
      <c r="J29">
        <v>1350</v>
      </c>
      <c r="K29" t="s">
        <v>53</v>
      </c>
      <c r="L29" t="s">
        <v>58</v>
      </c>
      <c r="M29" s="2">
        <v>46006</v>
      </c>
      <c r="N29" t="s">
        <v>49</v>
      </c>
      <c r="O29" t="s">
        <v>54</v>
      </c>
      <c r="P29" s="2">
        <v>46014</v>
      </c>
      <c r="Q29" s="5">
        <v>1000</v>
      </c>
      <c r="R29" t="s">
        <v>60</v>
      </c>
      <c r="S29" s="1" t="s">
        <v>62</v>
      </c>
      <c r="T29" s="4">
        <f t="shared" si="2"/>
        <v>0.7407407407407407</v>
      </c>
      <c r="U29" s="5">
        <v>100</v>
      </c>
      <c r="V29" s="4">
        <f t="shared" si="3"/>
        <v>1012.5</v>
      </c>
    </row>
    <row r="30" spans="1:22" ht="15.75" customHeight="1" x14ac:dyDescent="0.2">
      <c r="A30" s="1" t="s">
        <v>26</v>
      </c>
      <c r="B30" s="1" t="s">
        <v>31</v>
      </c>
      <c r="C30">
        <v>50</v>
      </c>
      <c r="D30" t="s">
        <v>36</v>
      </c>
      <c r="E30" t="s">
        <v>41</v>
      </c>
      <c r="F30" t="s">
        <v>46</v>
      </c>
      <c r="G30">
        <v>5</v>
      </c>
      <c r="H30" t="s">
        <v>47</v>
      </c>
      <c r="I30">
        <v>450</v>
      </c>
      <c r="J30">
        <v>1350</v>
      </c>
      <c r="K30" t="s">
        <v>53</v>
      </c>
      <c r="L30" t="s">
        <v>58</v>
      </c>
      <c r="M30" s="2">
        <v>46006</v>
      </c>
      <c r="N30" t="s">
        <v>49</v>
      </c>
      <c r="O30" t="s">
        <v>54</v>
      </c>
      <c r="P30" s="2">
        <v>46014</v>
      </c>
      <c r="Q30" s="5">
        <v>1000</v>
      </c>
      <c r="R30" t="s">
        <v>60</v>
      </c>
      <c r="S30" s="1" t="s">
        <v>62</v>
      </c>
      <c r="T30" s="4">
        <f t="shared" si="2"/>
        <v>0.7407407407407407</v>
      </c>
      <c r="U30" s="5">
        <v>100</v>
      </c>
      <c r="V30" s="4">
        <f t="shared" si="3"/>
        <v>1012.5</v>
      </c>
    </row>
    <row r="31" spans="1:22" ht="15.75" customHeight="1" x14ac:dyDescent="0.2">
      <c r="A31" s="1" t="s">
        <v>26</v>
      </c>
      <c r="B31" s="1" t="s">
        <v>31</v>
      </c>
      <c r="C31">
        <v>50</v>
      </c>
      <c r="D31" t="s">
        <v>36</v>
      </c>
      <c r="E31" t="s">
        <v>41</v>
      </c>
      <c r="F31" t="s">
        <v>46</v>
      </c>
      <c r="G31">
        <v>5</v>
      </c>
      <c r="H31" t="s">
        <v>47</v>
      </c>
      <c r="I31">
        <v>450</v>
      </c>
      <c r="J31">
        <v>1350</v>
      </c>
      <c r="K31" t="s">
        <v>53</v>
      </c>
      <c r="L31" t="s">
        <v>58</v>
      </c>
      <c r="M31" s="2">
        <v>46006</v>
      </c>
      <c r="N31" t="s">
        <v>49</v>
      </c>
      <c r="O31" t="s">
        <v>54</v>
      </c>
      <c r="P31" s="2">
        <v>46014</v>
      </c>
      <c r="Q31" s="5">
        <v>1000</v>
      </c>
      <c r="R31" t="s">
        <v>60</v>
      </c>
      <c r="S31" s="1" t="s">
        <v>62</v>
      </c>
      <c r="T31" s="4">
        <f t="shared" si="2"/>
        <v>0.7407407407407407</v>
      </c>
      <c r="U31" s="5">
        <v>100</v>
      </c>
      <c r="V31" s="4">
        <f t="shared" si="3"/>
        <v>1012.5</v>
      </c>
    </row>
    <row r="32" spans="1:22" ht="15.75" customHeight="1" x14ac:dyDescent="0.2">
      <c r="A32" s="1" t="s">
        <v>26</v>
      </c>
      <c r="B32" s="1" t="s">
        <v>31</v>
      </c>
      <c r="C32">
        <v>50</v>
      </c>
      <c r="D32" t="s">
        <v>36</v>
      </c>
      <c r="E32" t="s">
        <v>41</v>
      </c>
      <c r="F32" t="s">
        <v>46</v>
      </c>
      <c r="G32">
        <v>5</v>
      </c>
      <c r="H32" t="s">
        <v>47</v>
      </c>
      <c r="I32">
        <v>450</v>
      </c>
      <c r="J32">
        <v>1350</v>
      </c>
      <c r="K32" t="s">
        <v>53</v>
      </c>
      <c r="L32" t="s">
        <v>58</v>
      </c>
      <c r="M32" s="2">
        <v>46006</v>
      </c>
      <c r="N32" t="s">
        <v>49</v>
      </c>
      <c r="O32" t="s">
        <v>54</v>
      </c>
      <c r="P32" s="2">
        <v>46014</v>
      </c>
      <c r="Q32" s="5">
        <v>1000</v>
      </c>
      <c r="R32" t="s">
        <v>60</v>
      </c>
      <c r="S32" s="1" t="s">
        <v>62</v>
      </c>
      <c r="T32" s="4">
        <f t="shared" si="2"/>
        <v>0.7407407407407407</v>
      </c>
      <c r="U32" s="5">
        <v>100</v>
      </c>
      <c r="V32" s="4">
        <f t="shared" si="3"/>
        <v>1012.5</v>
      </c>
    </row>
    <row r="33" spans="1:22" ht="15.75" customHeight="1" x14ac:dyDescent="0.2">
      <c r="A33" s="1" t="s">
        <v>26</v>
      </c>
      <c r="B33" s="1" t="s">
        <v>31</v>
      </c>
      <c r="C33">
        <v>50</v>
      </c>
      <c r="D33" t="s">
        <v>36</v>
      </c>
      <c r="E33" t="s">
        <v>41</v>
      </c>
      <c r="F33" t="s">
        <v>46</v>
      </c>
      <c r="G33">
        <v>5</v>
      </c>
      <c r="H33" t="s">
        <v>47</v>
      </c>
      <c r="I33">
        <v>450</v>
      </c>
      <c r="J33">
        <v>1350</v>
      </c>
      <c r="K33" t="s">
        <v>53</v>
      </c>
      <c r="L33" t="s">
        <v>58</v>
      </c>
      <c r="M33" s="2">
        <v>46006</v>
      </c>
      <c r="N33" t="s">
        <v>49</v>
      </c>
      <c r="O33" t="s">
        <v>54</v>
      </c>
      <c r="P33" s="2">
        <v>46014</v>
      </c>
      <c r="Q33" s="5">
        <v>1000</v>
      </c>
      <c r="R33" t="s">
        <v>60</v>
      </c>
      <c r="S33" s="1" t="s">
        <v>62</v>
      </c>
      <c r="T33" s="4">
        <f t="shared" si="2"/>
        <v>0.7407407407407407</v>
      </c>
      <c r="U33" s="5">
        <v>100</v>
      </c>
      <c r="V33" s="4">
        <f t="shared" si="3"/>
        <v>1012.5</v>
      </c>
    </row>
    <row r="34" spans="1:22" ht="15.75" customHeight="1" x14ac:dyDescent="0.2">
      <c r="A34" s="1" t="s">
        <v>26</v>
      </c>
      <c r="B34" s="1" t="s">
        <v>31</v>
      </c>
      <c r="C34">
        <v>50</v>
      </c>
      <c r="D34" t="s">
        <v>36</v>
      </c>
      <c r="E34" t="s">
        <v>41</v>
      </c>
      <c r="F34" t="s">
        <v>46</v>
      </c>
      <c r="G34">
        <v>5</v>
      </c>
      <c r="H34" t="s">
        <v>47</v>
      </c>
      <c r="I34">
        <v>450</v>
      </c>
      <c r="J34">
        <v>1350</v>
      </c>
      <c r="K34" t="s">
        <v>53</v>
      </c>
      <c r="L34" t="s">
        <v>58</v>
      </c>
      <c r="M34" s="2">
        <v>46006</v>
      </c>
      <c r="N34" t="s">
        <v>49</v>
      </c>
      <c r="O34" t="s">
        <v>54</v>
      </c>
      <c r="P34" s="2">
        <v>46014</v>
      </c>
      <c r="Q34" s="5">
        <v>1000</v>
      </c>
      <c r="R34" t="s">
        <v>60</v>
      </c>
      <c r="S34" s="1" t="s">
        <v>62</v>
      </c>
      <c r="T34" s="4">
        <f t="shared" si="2"/>
        <v>0.7407407407407407</v>
      </c>
      <c r="U34" s="5">
        <v>100</v>
      </c>
      <c r="V34" s="4">
        <f t="shared" si="3"/>
        <v>1012.5</v>
      </c>
    </row>
    <row r="35" spans="1:22" ht="15.75" customHeight="1" x14ac:dyDescent="0.2">
      <c r="A35" s="1" t="s">
        <v>26</v>
      </c>
      <c r="B35" s="1" t="s">
        <v>31</v>
      </c>
      <c r="C35">
        <v>50</v>
      </c>
      <c r="D35" t="s">
        <v>36</v>
      </c>
      <c r="E35" t="s">
        <v>41</v>
      </c>
      <c r="F35" t="s">
        <v>46</v>
      </c>
      <c r="G35">
        <v>5</v>
      </c>
      <c r="H35" t="s">
        <v>47</v>
      </c>
      <c r="I35">
        <v>450</v>
      </c>
      <c r="J35">
        <v>1350</v>
      </c>
      <c r="K35" t="s">
        <v>53</v>
      </c>
      <c r="L35" t="s">
        <v>58</v>
      </c>
      <c r="M35" s="2">
        <v>46006</v>
      </c>
      <c r="N35" t="s">
        <v>49</v>
      </c>
      <c r="O35" t="s">
        <v>54</v>
      </c>
      <c r="P35" s="2">
        <v>46014</v>
      </c>
      <c r="Q35" s="5">
        <v>1000</v>
      </c>
      <c r="R35" t="s">
        <v>60</v>
      </c>
      <c r="S35" s="1" t="s">
        <v>62</v>
      </c>
      <c r="T35" s="4">
        <f t="shared" si="2"/>
        <v>0.7407407407407407</v>
      </c>
      <c r="U35" s="5">
        <v>100</v>
      </c>
      <c r="V35" s="4">
        <f t="shared" si="3"/>
        <v>1012.5</v>
      </c>
    </row>
    <row r="36" spans="1:22" ht="15.75" customHeight="1" x14ac:dyDescent="0.2">
      <c r="A36" s="1" t="s">
        <v>26</v>
      </c>
      <c r="B36" s="1" t="s">
        <v>31</v>
      </c>
      <c r="C36">
        <v>50</v>
      </c>
      <c r="D36" t="s">
        <v>36</v>
      </c>
      <c r="E36" t="s">
        <v>41</v>
      </c>
      <c r="F36" t="s">
        <v>46</v>
      </c>
      <c r="G36">
        <v>5</v>
      </c>
      <c r="H36" t="s">
        <v>47</v>
      </c>
      <c r="I36">
        <v>450</v>
      </c>
      <c r="J36">
        <v>1350</v>
      </c>
      <c r="K36" t="s">
        <v>53</v>
      </c>
      <c r="L36" t="s">
        <v>58</v>
      </c>
      <c r="M36" s="2">
        <v>46006</v>
      </c>
      <c r="N36" t="s">
        <v>49</v>
      </c>
      <c r="O36" t="s">
        <v>54</v>
      </c>
      <c r="P36" s="2">
        <v>46014</v>
      </c>
      <c r="Q36" s="5">
        <v>1000</v>
      </c>
      <c r="R36" t="s">
        <v>60</v>
      </c>
      <c r="S36" s="1" t="s">
        <v>62</v>
      </c>
      <c r="T36" s="4">
        <f t="shared" si="2"/>
        <v>0.7407407407407407</v>
      </c>
      <c r="U36" s="5">
        <v>100</v>
      </c>
      <c r="V36" s="4">
        <f t="shared" si="3"/>
        <v>1012.5</v>
      </c>
    </row>
    <row r="37" spans="1:22" ht="15.75" customHeight="1" x14ac:dyDescent="0.2">
      <c r="A37" s="1" t="s">
        <v>26</v>
      </c>
      <c r="B37" s="1" t="s">
        <v>31</v>
      </c>
      <c r="C37">
        <v>50</v>
      </c>
      <c r="D37" t="s">
        <v>36</v>
      </c>
      <c r="E37" t="s">
        <v>41</v>
      </c>
      <c r="F37" t="s">
        <v>46</v>
      </c>
      <c r="G37">
        <v>5</v>
      </c>
      <c r="H37" t="s">
        <v>47</v>
      </c>
      <c r="I37">
        <v>450</v>
      </c>
      <c r="J37">
        <v>1350</v>
      </c>
      <c r="K37" t="s">
        <v>53</v>
      </c>
      <c r="L37" t="s">
        <v>58</v>
      </c>
      <c r="M37" s="2">
        <v>46006</v>
      </c>
      <c r="N37" t="s">
        <v>49</v>
      </c>
      <c r="O37" t="s">
        <v>54</v>
      </c>
      <c r="P37" s="2">
        <v>46014</v>
      </c>
      <c r="Q37" s="5">
        <v>1000</v>
      </c>
      <c r="R37" t="s">
        <v>60</v>
      </c>
      <c r="S37" s="1" t="s">
        <v>62</v>
      </c>
      <c r="T37" s="4">
        <f t="shared" si="2"/>
        <v>0.7407407407407407</v>
      </c>
      <c r="U37" s="5">
        <v>100</v>
      </c>
      <c r="V37" s="4">
        <f t="shared" si="3"/>
        <v>1012.5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Arfan</dc:creator>
  <cp:lastModifiedBy>Murtaza Arfan</cp:lastModifiedBy>
  <dcterms:created xsi:type="dcterms:W3CDTF">2025-12-19T15:43:38Z</dcterms:created>
  <dcterms:modified xsi:type="dcterms:W3CDTF">2025-12-19T15:56:23Z</dcterms:modified>
</cp:coreProperties>
</file>