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rtaza Arfan\Downloads\Python\"/>
    </mc:Choice>
  </mc:AlternateContent>
  <xr:revisionPtr revIDLastSave="0" documentId="13_ncr:1_{DAE19D4C-633D-4653-8569-2FD5F3B57E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 Sheet" sheetId="3" r:id="rId1"/>
    <sheet name="Driver Info" sheetId="2" r:id="rId2"/>
  </sheets>
  <definedNames>
    <definedName name="_xlnm._FilterDatabase" localSheetId="0" hidden="1">'Load Sheet'!$A$1:$Q$191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2" i="3"/>
</calcChain>
</file>

<file path=xl/sharedStrings.xml><?xml version="1.0" encoding="utf-8"?>
<sst xmlns="http://schemas.openxmlformats.org/spreadsheetml/2006/main" count="1711" uniqueCount="599">
  <si>
    <t>Carrier</t>
  </si>
  <si>
    <t>Broker</t>
  </si>
  <si>
    <t>Broker Contact</t>
  </si>
  <si>
    <t>Load#</t>
  </si>
  <si>
    <t>Dispatcher</t>
  </si>
  <si>
    <t>Driver</t>
  </si>
  <si>
    <t>Booked Date</t>
  </si>
  <si>
    <t>Pickup</t>
  </si>
  <si>
    <t xml:space="preserve">Delivery </t>
  </si>
  <si>
    <t>Pickup Date</t>
  </si>
  <si>
    <t>Delivery Date</t>
  </si>
  <si>
    <t>Total Miles</t>
  </si>
  <si>
    <t>Amount</t>
  </si>
  <si>
    <t>Load Status</t>
  </si>
  <si>
    <t>POD Status</t>
  </si>
  <si>
    <t>Amar Trucking</t>
  </si>
  <si>
    <t>Melton</t>
  </si>
  <si>
    <t>Abuzar</t>
  </si>
  <si>
    <t>Ahmed</t>
  </si>
  <si>
    <t>portland TN</t>
  </si>
  <si>
    <t>PRYOR OK</t>
  </si>
  <si>
    <t>Delivered</t>
  </si>
  <si>
    <t>Sent</t>
  </si>
  <si>
    <t xml:space="preserve">Ryan </t>
  </si>
  <si>
    <t>Pryor OK</t>
  </si>
  <si>
    <t>Piney Flats, TN</t>
  </si>
  <si>
    <t>Smart Haul</t>
  </si>
  <si>
    <t>Taylor</t>
  </si>
  <si>
    <t>Carlstadt, NJ</t>
  </si>
  <si>
    <t>Henderson, NV</t>
  </si>
  <si>
    <t>ALVAREZ AND SONS LOGISTICS LLC</t>
  </si>
  <si>
    <t>Blue Grace</t>
  </si>
  <si>
    <t>BG1042816425</t>
  </si>
  <si>
    <t>Umer</t>
  </si>
  <si>
    <t>Kelly</t>
  </si>
  <si>
    <t>Fort Worth, TX</t>
  </si>
  <si>
    <t>Moreno Valley, CA</t>
  </si>
  <si>
    <t>Kazeem</t>
  </si>
  <si>
    <t>Hughson, CA</t>
  </si>
  <si>
    <t>Grand Rapids, Mi</t>
  </si>
  <si>
    <t>RJ Trans</t>
  </si>
  <si>
    <t>Armstrong</t>
  </si>
  <si>
    <t>3906074-1</t>
  </si>
  <si>
    <t>Ayman</t>
  </si>
  <si>
    <t>Crawfordsville, IN</t>
  </si>
  <si>
    <t>Denton, TX</t>
  </si>
  <si>
    <t>H&amp;H Log</t>
  </si>
  <si>
    <t>Shahbaz</t>
  </si>
  <si>
    <t>William</t>
  </si>
  <si>
    <t xml:space="preserve">Celevland, OH </t>
  </si>
  <si>
    <t>Bihemia, NY</t>
  </si>
  <si>
    <t>Ship Ardent</t>
  </si>
  <si>
    <t>Waleed</t>
  </si>
  <si>
    <t>Cromwell, KY</t>
  </si>
  <si>
    <t>Perry, GA</t>
  </si>
  <si>
    <t>Capital Logistics</t>
  </si>
  <si>
    <t>N Las Vegas, NV</t>
  </si>
  <si>
    <t>Petersburg, VA</t>
  </si>
  <si>
    <t>Las Vegas NV</t>
  </si>
  <si>
    <t xml:space="preserve">Kearny, NJ </t>
  </si>
  <si>
    <t>Issa</t>
  </si>
  <si>
    <t>Greeneville, TN</t>
  </si>
  <si>
    <t>Gilbert, AZ</t>
  </si>
  <si>
    <t>Knoxville, TN</t>
  </si>
  <si>
    <t>Spring Hill, TN</t>
  </si>
  <si>
    <t>Load Delivered</t>
  </si>
  <si>
    <t>Macon, GA</t>
  </si>
  <si>
    <t>Cottonwood, AL</t>
  </si>
  <si>
    <t>G&amp;P Dispatch</t>
  </si>
  <si>
    <t>Montgomery, AL</t>
  </si>
  <si>
    <t>Dayton, OH</t>
  </si>
  <si>
    <t>Mithak</t>
  </si>
  <si>
    <t>FORREST CITY AR</t>
  </si>
  <si>
    <t>LEITCHFIELD KY</t>
  </si>
  <si>
    <t>S Bend, IN</t>
  </si>
  <si>
    <t>Chicopee, MA</t>
  </si>
  <si>
    <t>Stony Brook, NY</t>
  </si>
  <si>
    <t>Houston, TX</t>
  </si>
  <si>
    <t>Pending</t>
  </si>
  <si>
    <t>Mostafa</t>
  </si>
  <si>
    <t>GLUFPORT MS</t>
  </si>
  <si>
    <t>GRAND RAPIDS, Mi</t>
  </si>
  <si>
    <t>INDIANAPOLIS IN</t>
  </si>
  <si>
    <t>ELLENWOOD GA</t>
  </si>
  <si>
    <t>Anthony</t>
  </si>
  <si>
    <t>Tupelo, MS</t>
  </si>
  <si>
    <t>Phoniex, AZ</t>
  </si>
  <si>
    <t>SKFZ</t>
  </si>
  <si>
    <t>Fares</t>
  </si>
  <si>
    <t xml:space="preserve">Quincy, IL </t>
  </si>
  <si>
    <t xml:space="preserve">Franklin, KY </t>
  </si>
  <si>
    <t>LEWISBURG, TN</t>
  </si>
  <si>
    <t>WICHITA, KS</t>
  </si>
  <si>
    <t xml:space="preserve">Indianapolis, IN </t>
  </si>
  <si>
    <t>Pittsburgh, PA</t>
  </si>
  <si>
    <t xml:space="preserve">Hillsboro, KY </t>
  </si>
  <si>
    <t>Macon, MS</t>
  </si>
  <si>
    <t>Smithville OH</t>
  </si>
  <si>
    <t>Holland MI</t>
  </si>
  <si>
    <t>Hart, MI</t>
  </si>
  <si>
    <t>Columbia, TN</t>
  </si>
  <si>
    <t>MURFREESBORO,TN</t>
  </si>
  <si>
    <t>INDIAN TRIAL NC</t>
  </si>
  <si>
    <t>Murfreesboro, TN</t>
  </si>
  <si>
    <t>Hammond, LA</t>
  </si>
  <si>
    <t>Online Freight</t>
  </si>
  <si>
    <t>Evan</t>
  </si>
  <si>
    <t>Brookshire, TX</t>
  </si>
  <si>
    <t>Winamac, IN</t>
  </si>
  <si>
    <t>Columbus, OH</t>
  </si>
  <si>
    <t>Ripley,WV</t>
  </si>
  <si>
    <t>816.791.0875</t>
  </si>
  <si>
    <t>Maan</t>
  </si>
  <si>
    <t>Port Huron, MI</t>
  </si>
  <si>
    <t>SAINT LOUIS, MO</t>
  </si>
  <si>
    <t>Verona, MS</t>
  </si>
  <si>
    <t>Oklahoma City, OK</t>
  </si>
  <si>
    <t>Springfield, OH</t>
  </si>
  <si>
    <t>Philadelphia, PA</t>
  </si>
  <si>
    <t>Austin, TX</t>
  </si>
  <si>
    <t>31514-21521</t>
  </si>
  <si>
    <t>OKLAHOMA CITY, OK</t>
  </si>
  <si>
    <t>FINDLAY, OH</t>
  </si>
  <si>
    <t>Ghazwan</t>
  </si>
  <si>
    <t>CALHOUN GA</t>
  </si>
  <si>
    <t>WACO TX</t>
  </si>
  <si>
    <t>HAZELWOOD MO</t>
  </si>
  <si>
    <t>LANCASTER TX</t>
  </si>
  <si>
    <t>BELLE MO</t>
  </si>
  <si>
    <t>SAN ANTONIO TX</t>
  </si>
  <si>
    <t>Gulfport, MS</t>
  </si>
  <si>
    <t>San Antonio, TX</t>
  </si>
  <si>
    <t>Newnan, GA</t>
  </si>
  <si>
    <t>Scotllyn</t>
  </si>
  <si>
    <t>FULLERTON, CA</t>
  </si>
  <si>
    <t>Ryan Transportation</t>
  </si>
  <si>
    <t xml:space="preserve">Charlotte, NC </t>
  </si>
  <si>
    <t>Cardinal Logistics</t>
  </si>
  <si>
    <t>31412-70291</t>
  </si>
  <si>
    <t>Parma, OH</t>
  </si>
  <si>
    <t>Cumming, GA</t>
  </si>
  <si>
    <t>Hockley, TX</t>
  </si>
  <si>
    <t>Amesbury, MA</t>
  </si>
  <si>
    <t>Saint Peters, MO</t>
  </si>
  <si>
    <t>Enid, OK</t>
  </si>
  <si>
    <t>Columbus, NE</t>
  </si>
  <si>
    <t>Flint, MI</t>
  </si>
  <si>
    <t>4242-2546</t>
  </si>
  <si>
    <t>Allen, TX,</t>
  </si>
  <si>
    <t>South Bend, IN,</t>
  </si>
  <si>
    <t>San Saba, TX</t>
  </si>
  <si>
    <t>Norwalk, CA</t>
  </si>
  <si>
    <t>Taylor, TX</t>
  </si>
  <si>
    <t>Bohemia, NY</t>
  </si>
  <si>
    <t>Simple Logistics</t>
  </si>
  <si>
    <t>TX</t>
  </si>
  <si>
    <t>Devans, MA</t>
  </si>
  <si>
    <t>Mount Vernon, IL</t>
  </si>
  <si>
    <t>houston tx</t>
  </si>
  <si>
    <t>HOUSTON TX</t>
  </si>
  <si>
    <t>LITTLE ROCK AR</t>
  </si>
  <si>
    <t>ANDERSON SC</t>
  </si>
  <si>
    <t>SHEKOPEE MN</t>
  </si>
  <si>
    <t>Logistimax</t>
  </si>
  <si>
    <t>Morganton, NC 28655</t>
  </si>
  <si>
    <t>Lebanon, TN 37090</t>
  </si>
  <si>
    <t>BAHYLIA MS</t>
  </si>
  <si>
    <t>ROMULAS MI</t>
  </si>
  <si>
    <t>Aaron</t>
  </si>
  <si>
    <t>Tomball, TX</t>
  </si>
  <si>
    <t>Driftwood, TX</t>
  </si>
  <si>
    <t>Sunteck</t>
  </si>
  <si>
    <t>Martin, TN</t>
  </si>
  <si>
    <t>Brundidge, AL</t>
  </si>
  <si>
    <t>Backhaul Direct</t>
  </si>
  <si>
    <t>Bascom, FL</t>
  </si>
  <si>
    <t>Mt Juliet, TN</t>
  </si>
  <si>
    <t>Ali</t>
  </si>
  <si>
    <t>Tallahassee, FL</t>
  </si>
  <si>
    <t>Macomb, MI</t>
  </si>
  <si>
    <t>Piperton, TN</t>
  </si>
  <si>
    <t>Henderson, KY</t>
  </si>
  <si>
    <t>Park City, KS</t>
  </si>
  <si>
    <t>MOUNT JULIET TN</t>
  </si>
  <si>
    <t>CINCINNATI OH</t>
  </si>
  <si>
    <t>Batavia, OH</t>
  </si>
  <si>
    <t>Clanton, AL</t>
  </si>
  <si>
    <t>Brookpark, OH</t>
  </si>
  <si>
    <t>Milton, WV</t>
  </si>
  <si>
    <t>Winchester, KY</t>
  </si>
  <si>
    <t>Bensenville, IL</t>
  </si>
  <si>
    <t>Gnadenhutten, OH</t>
  </si>
  <si>
    <t>Lynchburg, VA</t>
  </si>
  <si>
    <t>Freight Tech</t>
  </si>
  <si>
    <t>Chelsea, MA</t>
  </si>
  <si>
    <t>Huntsville, AL</t>
  </si>
  <si>
    <t>Hirschbach Solutions</t>
  </si>
  <si>
    <t>Carson, CA</t>
  </si>
  <si>
    <t>Riverside, CA</t>
  </si>
  <si>
    <t>SOUTH WHITLEY IN</t>
  </si>
  <si>
    <t>KYLE TX</t>
  </si>
  <si>
    <t>Anderson,SC</t>
  </si>
  <si>
    <t>Wausau,WI</t>
  </si>
  <si>
    <t>SMITHVILLE, TN</t>
  </si>
  <si>
    <t>WARREN, MI</t>
  </si>
  <si>
    <t>Logan Logistics</t>
  </si>
  <si>
    <t>Bensenville,IL</t>
  </si>
  <si>
    <t>San Jose, CA</t>
  </si>
  <si>
    <t>Irvine, CA</t>
  </si>
  <si>
    <t>Ease Logistics</t>
  </si>
  <si>
    <t>Manchester, TN</t>
  </si>
  <si>
    <t>Geneva, AL</t>
  </si>
  <si>
    <t>Carson, CA,</t>
  </si>
  <si>
    <t>Terrell, TX,</t>
  </si>
  <si>
    <t>Louisville, KY</t>
  </si>
  <si>
    <t>Schaumburg, IL</t>
  </si>
  <si>
    <t>D &amp; L</t>
  </si>
  <si>
    <t>Little Rock AR</t>
  </si>
  <si>
    <t>PLAINFIELD IN</t>
  </si>
  <si>
    <t>WESTFIELD IN</t>
  </si>
  <si>
    <t>OKC</t>
  </si>
  <si>
    <t>Donalsonville, GA</t>
  </si>
  <si>
    <t>Burr Ridge, IL</t>
  </si>
  <si>
    <t>Bed Rock</t>
  </si>
  <si>
    <t>Appley Valley,CA</t>
  </si>
  <si>
    <t>Buffalo Grove, IL</t>
  </si>
  <si>
    <t>Herrin, IL</t>
  </si>
  <si>
    <t>Sage Freight</t>
  </si>
  <si>
    <t>Opelika, AL</t>
  </si>
  <si>
    <t>Nashville,TN</t>
  </si>
  <si>
    <t>Taylor, MI</t>
  </si>
  <si>
    <t>Dallas, TX</t>
  </si>
  <si>
    <t>Romulus, MI</t>
  </si>
  <si>
    <t>Irving, TX</t>
  </si>
  <si>
    <t>Trinity Logistics</t>
  </si>
  <si>
    <t>Midwest City, OK</t>
  </si>
  <si>
    <t>COOKEVILLE, TN</t>
  </si>
  <si>
    <t>Louisa, KY</t>
  </si>
  <si>
    <t>Athens, GA</t>
  </si>
  <si>
    <t>Santa Fe Springs, CA</t>
  </si>
  <si>
    <t>Plainfield, IN</t>
  </si>
  <si>
    <t>Prosponsive Logistics</t>
  </si>
  <si>
    <t>Effingham, SC</t>
  </si>
  <si>
    <t>6PJ3646</t>
  </si>
  <si>
    <t>Mt Juliet,TN</t>
  </si>
  <si>
    <t xml:space="preserve"> Springfield, MO</t>
  </si>
  <si>
    <t>Augusta, GA</t>
  </si>
  <si>
    <t>Luisville,KY</t>
  </si>
  <si>
    <t>D&amp;L Transport</t>
  </si>
  <si>
    <t>VACAVILLE CA</t>
  </si>
  <si>
    <t>Chatsworth, CA</t>
  </si>
  <si>
    <t>Indianapolis, IN</t>
  </si>
  <si>
    <t>Princeton, KY</t>
  </si>
  <si>
    <t>Spartan Logistics</t>
  </si>
  <si>
    <t>Arlington, TX</t>
  </si>
  <si>
    <t>Buena Park, CA</t>
  </si>
  <si>
    <t>Corpus Christi, TX</t>
  </si>
  <si>
    <t>Spot Freight</t>
  </si>
  <si>
    <t>S3507567</t>
  </si>
  <si>
    <t>Palatine,IL</t>
  </si>
  <si>
    <t>LA Crosse, VA</t>
  </si>
  <si>
    <t>mountain home AR</t>
  </si>
  <si>
    <t>Hilton Head Is, SC</t>
  </si>
  <si>
    <t>Chicago, IL</t>
  </si>
  <si>
    <t>Momentum</t>
  </si>
  <si>
    <t>MFCFM2261</t>
  </si>
  <si>
    <t>Savannah, GA</t>
  </si>
  <si>
    <t>Edgerton, KS</t>
  </si>
  <si>
    <t>Rushville, IN</t>
  </si>
  <si>
    <t>Longview, TX</t>
  </si>
  <si>
    <t xml:space="preserve">Armstrong </t>
  </si>
  <si>
    <t>3970300-1</t>
  </si>
  <si>
    <t>Wilson NC</t>
  </si>
  <si>
    <t>Canton, OH</t>
  </si>
  <si>
    <t>Old Dominion</t>
  </si>
  <si>
    <t>ORANGEBURG, SC</t>
  </si>
  <si>
    <t>ELKHART, IN</t>
  </si>
  <si>
    <t>6PK0622</t>
  </si>
  <si>
    <t>MIDDLETOWN,BU, Ohio</t>
  </si>
  <si>
    <t>KELLER, Texas</t>
  </si>
  <si>
    <t>Rossville, TN</t>
  </si>
  <si>
    <t xml:space="preserve"> Palmyra, MO</t>
  </si>
  <si>
    <t>Larkin Express</t>
  </si>
  <si>
    <t>Hanahan,SC</t>
  </si>
  <si>
    <t>Tulsa,OK</t>
  </si>
  <si>
    <t>Magellan</t>
  </si>
  <si>
    <t>Hutchins, TX,</t>
  </si>
  <si>
    <t>SAXONBURG, PA,</t>
  </si>
  <si>
    <t>Sureway Transport</t>
  </si>
  <si>
    <t>SULPHUR, LA</t>
  </si>
  <si>
    <t>PLYMOUTH, MN</t>
  </si>
  <si>
    <t>Springfield,OH</t>
  </si>
  <si>
    <t>ST Paul,VA</t>
  </si>
  <si>
    <t>SAVANNAH, GA</t>
  </si>
  <si>
    <t>FULTON, MO</t>
  </si>
  <si>
    <t>HENRYETTA OK</t>
  </si>
  <si>
    <t>AUSTIN TX</t>
  </si>
  <si>
    <t>Kingsport, TN</t>
  </si>
  <si>
    <t>Middletown, OH</t>
  </si>
  <si>
    <t xml:space="preserve">Centerville, MN </t>
  </si>
  <si>
    <t>Irving,TX</t>
  </si>
  <si>
    <t>3980037-1</t>
  </si>
  <si>
    <t>Yasir</t>
  </si>
  <si>
    <t>Davison, MI</t>
  </si>
  <si>
    <t>Laredo, TX,</t>
  </si>
  <si>
    <t>ZAINSVILLE OH</t>
  </si>
  <si>
    <t>CASA GRANDE, AZ</t>
  </si>
  <si>
    <t>MIRA LOMA, CA</t>
  </si>
  <si>
    <t>Hudson, WI</t>
  </si>
  <si>
    <t>Hamza</t>
  </si>
  <si>
    <t>Columbus,OH</t>
  </si>
  <si>
    <t>Grandrapid,MI</t>
  </si>
  <si>
    <t>Express Logistics</t>
  </si>
  <si>
    <t>Vernon, CA</t>
  </si>
  <si>
    <t>sparks NV</t>
  </si>
  <si>
    <t>MILLWOOD WV</t>
  </si>
  <si>
    <t>Hillsboro, TX</t>
  </si>
  <si>
    <t>Dunlap, IA</t>
  </si>
  <si>
    <t>Holland, MI</t>
  </si>
  <si>
    <t>Canal Wnchstr OH</t>
  </si>
  <si>
    <t>Brownstown,MI</t>
  </si>
  <si>
    <t>Laredo,TX</t>
  </si>
  <si>
    <t>New Albany, IN</t>
  </si>
  <si>
    <t>Desoto, TX</t>
  </si>
  <si>
    <t>Worthington, OH</t>
  </si>
  <si>
    <t>Fairfield, NJ</t>
  </si>
  <si>
    <t>North Billerica, MA</t>
  </si>
  <si>
    <t>Melrose Park, IL</t>
  </si>
  <si>
    <t>C80932</t>
  </si>
  <si>
    <t>Dunn, NC</t>
  </si>
  <si>
    <t>Ryan Logistics</t>
  </si>
  <si>
    <t>City of Industry, CA,</t>
  </si>
  <si>
    <t>Houston, TX,</t>
  </si>
  <si>
    <t>Plains Dedicated</t>
  </si>
  <si>
    <t>Lumberton, NC</t>
  </si>
  <si>
    <t>Gainsville, GA</t>
  </si>
  <si>
    <t>Mazin</t>
  </si>
  <si>
    <t>Columbus, GA</t>
  </si>
  <si>
    <t>GAINESVILLE GA</t>
  </si>
  <si>
    <t>COLUMBUS OH</t>
  </si>
  <si>
    <t>LEBANON TN</t>
  </si>
  <si>
    <t>BRUNDIDGE AL</t>
  </si>
  <si>
    <t>Shine Logistics</t>
  </si>
  <si>
    <t>LD61648</t>
  </si>
  <si>
    <t>Canton, MI</t>
  </si>
  <si>
    <t>Beach is ,SC</t>
  </si>
  <si>
    <t>Blauvelt, NY</t>
  </si>
  <si>
    <t xml:space="preserve">Lima, OH </t>
  </si>
  <si>
    <t xml:space="preserve">Pennsuken,NJ </t>
  </si>
  <si>
    <t>Howard OH</t>
  </si>
  <si>
    <t>OWENSBORO KY</t>
  </si>
  <si>
    <t>Logisource</t>
  </si>
  <si>
    <t>Concord, NC</t>
  </si>
  <si>
    <t>Carroll, IA</t>
  </si>
  <si>
    <t>In Transit</t>
  </si>
  <si>
    <t>Marion, OH</t>
  </si>
  <si>
    <t>Chattanooga, TN</t>
  </si>
  <si>
    <t>Logistics Worldwide</t>
  </si>
  <si>
    <t>Largo, FL</t>
  </si>
  <si>
    <t>Cleveland, OH</t>
  </si>
  <si>
    <t>RICHMOND IN</t>
  </si>
  <si>
    <t>EVANSVILLE IN</t>
  </si>
  <si>
    <t>LOLITA TX</t>
  </si>
  <si>
    <t>KANSAS CITY MO</t>
  </si>
  <si>
    <t>2104-0052-1225</t>
  </si>
  <si>
    <t>JOURDANTON, TX</t>
  </si>
  <si>
    <t>CONWAY, AR</t>
  </si>
  <si>
    <t>ATHENS TN</t>
  </si>
  <si>
    <t>E POINT GA</t>
  </si>
  <si>
    <t>Megacorp</t>
  </si>
  <si>
    <t>City of Industry, CA</t>
  </si>
  <si>
    <t>St luois,MO</t>
  </si>
  <si>
    <t>Ashburn,VA</t>
  </si>
  <si>
    <t>Platinum Cargo</t>
  </si>
  <si>
    <t>MT PLEASANT, MI</t>
  </si>
  <si>
    <t>WASHINGTON, DC</t>
  </si>
  <si>
    <t>North Bergen, NJ</t>
  </si>
  <si>
    <t>Little Falls, MN</t>
  </si>
  <si>
    <t>REP</t>
  </si>
  <si>
    <t>Abdul</t>
  </si>
  <si>
    <t>LEBANON, TN</t>
  </si>
  <si>
    <t>ROCK HILL, SC</t>
  </si>
  <si>
    <t>York, PA</t>
  </si>
  <si>
    <t>Steam Logistics</t>
  </si>
  <si>
    <t>La Vergne, TN</t>
  </si>
  <si>
    <t>Groveport, OH</t>
  </si>
  <si>
    <t>COLUMBIA SC</t>
  </si>
  <si>
    <t>GREENFIELD IN</t>
  </si>
  <si>
    <t>Trotwood,OH</t>
  </si>
  <si>
    <t>ZEBULON NC</t>
  </si>
  <si>
    <t>Rocky Mount,NC</t>
  </si>
  <si>
    <t>Mount JULIET,TN</t>
  </si>
  <si>
    <t>Atlantic Logistics</t>
  </si>
  <si>
    <t>Bel Camp, MD</t>
  </si>
  <si>
    <t>Weidman, MI</t>
  </si>
  <si>
    <t>Hazen Transfer</t>
  </si>
  <si>
    <t>Harrison Township, MI</t>
  </si>
  <si>
    <t>Atlanta, GA</t>
  </si>
  <si>
    <t>Scotlyan</t>
  </si>
  <si>
    <t>OXNARD CA</t>
  </si>
  <si>
    <t>FULLERTON CA</t>
  </si>
  <si>
    <t>Montezuma, GA</t>
  </si>
  <si>
    <t>Van Buren Twp, MI</t>
  </si>
  <si>
    <t>Mega Corp</t>
  </si>
  <si>
    <t>GUTHRIE, KY</t>
  </si>
  <si>
    <t>Louisburg, NC</t>
  </si>
  <si>
    <t>Centerville, MN</t>
  </si>
  <si>
    <t>Ruther Glen, VA</t>
  </si>
  <si>
    <t>Griffin GA</t>
  </si>
  <si>
    <t>Craftville IN</t>
  </si>
  <si>
    <t>Bikeman Transport Inc</t>
  </si>
  <si>
    <t>Monticello, MN</t>
  </si>
  <si>
    <t>CHRISTIANSBURG, VA</t>
  </si>
  <si>
    <t>Werner Enterprises Inc</t>
  </si>
  <si>
    <t>Wilson, NC</t>
  </si>
  <si>
    <t>Jackson, TN</t>
  </si>
  <si>
    <t>Tifton, GA</t>
  </si>
  <si>
    <t>Advance Transportation Inc</t>
  </si>
  <si>
    <t>Seguin, TX</t>
  </si>
  <si>
    <t>Conyers, GA</t>
  </si>
  <si>
    <t>Direct Connect Logistix Inc</t>
  </si>
  <si>
    <t>Eastman, GA</t>
  </si>
  <si>
    <t>Quincy, IL</t>
  </si>
  <si>
    <t xml:space="preserve">Ceder Spring, MI </t>
  </si>
  <si>
    <t>Edison, NJ</t>
  </si>
  <si>
    <t>Orlando, FL</t>
  </si>
  <si>
    <t>Lansing, MI</t>
  </si>
  <si>
    <t xml:space="preserve">Roselle, NJ </t>
  </si>
  <si>
    <t xml:space="preserve">Troy, OH </t>
  </si>
  <si>
    <t>Troy,MI</t>
  </si>
  <si>
    <t>Harrisonburg, VA</t>
  </si>
  <si>
    <t>Ellettsville, IN</t>
  </si>
  <si>
    <t>T A</t>
  </si>
  <si>
    <t xml:space="preserve">Springfield IL </t>
  </si>
  <si>
    <t>Winston-Salem, North Carolina</t>
  </si>
  <si>
    <t>Frazeysburg, OH</t>
  </si>
  <si>
    <t>Cheektowaga, NY</t>
  </si>
  <si>
    <t>Houston Speedy Movers &amp; Consultants Llc</t>
  </si>
  <si>
    <t>Andrew</t>
  </si>
  <si>
    <t>Stafford, TX</t>
  </si>
  <si>
    <t>Bonita Springs, FL</t>
  </si>
  <si>
    <t>National City, CA</t>
  </si>
  <si>
    <t>RIVERSIDE, CA</t>
  </si>
  <si>
    <t>CHARLOTTE, NC</t>
  </si>
  <si>
    <t>31409-31966</t>
  </si>
  <si>
    <t>Gainesville, GA</t>
  </si>
  <si>
    <t>Fairfield, OH</t>
  </si>
  <si>
    <t>McAlester,OK</t>
  </si>
  <si>
    <t>indianaplois IN</t>
  </si>
  <si>
    <t>Charlotte, NC</t>
  </si>
  <si>
    <t>Houston,TX</t>
  </si>
  <si>
    <t>Charlestown,NH</t>
  </si>
  <si>
    <t>San Diego,CA</t>
  </si>
  <si>
    <t>Wheeling,IL</t>
  </si>
  <si>
    <t>Boynton Beach, FL</t>
  </si>
  <si>
    <t>Farmington, NM</t>
  </si>
  <si>
    <t>Company</t>
  </si>
  <si>
    <t>Contact</t>
  </si>
  <si>
    <t>Truck#</t>
  </si>
  <si>
    <t>Trailer#</t>
  </si>
  <si>
    <t>Patel</t>
  </si>
  <si>
    <t>H&amp;H Logistics</t>
  </si>
  <si>
    <t>Smarthaul</t>
  </si>
  <si>
    <t>Smart haul</t>
  </si>
  <si>
    <t>Alvarez And Sons Logistics Llc</t>
  </si>
  <si>
    <t>Rj Trans</t>
  </si>
  <si>
    <t>Skfz</t>
  </si>
  <si>
    <t>Tql</t>
  </si>
  <si>
    <t>Vista</t>
  </si>
  <si>
    <t>Garrison</t>
  </si>
  <si>
    <t>Crowley</t>
  </si>
  <si>
    <t>Virnich</t>
  </si>
  <si>
    <t>Uts</t>
  </si>
  <si>
    <t>Cj Logistics</t>
  </si>
  <si>
    <t>Cfs</t>
  </si>
  <si>
    <t>Scotylan</t>
  </si>
  <si>
    <t>Roar Logistics</t>
  </si>
  <si>
    <t>Fitzmark</t>
  </si>
  <si>
    <t>Rpm</t>
  </si>
  <si>
    <t>Mw</t>
  </si>
  <si>
    <t>Bbi</t>
  </si>
  <si>
    <t>4Wrd</t>
  </si>
  <si>
    <t>Warp</t>
  </si>
  <si>
    <t>Dsg Logistics</t>
  </si>
  <si>
    <t>Nfi</t>
  </si>
  <si>
    <t>Hub Group</t>
  </si>
  <si>
    <t>Total</t>
  </si>
  <si>
    <t>Ship Secure Inc</t>
  </si>
  <si>
    <t>Gtz</t>
  </si>
  <si>
    <t>Loaddelivered</t>
  </si>
  <si>
    <t>Corcoran Logistics Llc</t>
  </si>
  <si>
    <t>Worldwide</t>
  </si>
  <si>
    <t>Midwest</t>
  </si>
  <si>
    <t>Mvp Logistics</t>
  </si>
  <si>
    <t>Tld</t>
  </si>
  <si>
    <t>Its</t>
  </si>
  <si>
    <t>Jb Hunt</t>
  </si>
  <si>
    <t>Dsg Transport Llc</t>
  </si>
  <si>
    <t>Partner Fr8</t>
  </si>
  <si>
    <t>Black Box</t>
  </si>
  <si>
    <t>Dsv Road Inc</t>
  </si>
  <si>
    <t>Pcdx Transportation</t>
  </si>
  <si>
    <t>Landstar</t>
  </si>
  <si>
    <t>Ultra Logistics</t>
  </si>
  <si>
    <t>Eshipping, Llc</t>
  </si>
  <si>
    <t>Tmx Logistics</t>
  </si>
  <si>
    <t>Wle Western Logistics</t>
  </si>
  <si>
    <t>Sunset</t>
  </si>
  <si>
    <t>Ch Robinson</t>
  </si>
  <si>
    <t>Mlm</t>
  </si>
  <si>
    <t xml:space="preserve">Nfi </t>
  </si>
  <si>
    <t>Rxo</t>
  </si>
  <si>
    <t>Fox Transportation Inc</t>
  </si>
  <si>
    <t>Keystone Lines</t>
  </si>
  <si>
    <t>Challenger</t>
  </si>
  <si>
    <t>Alpha</t>
  </si>
  <si>
    <t>8005803101x38294</t>
  </si>
  <si>
    <t>8005803101x58808</t>
  </si>
  <si>
    <t>8005803101x46542</t>
  </si>
  <si>
    <t>8005803101x34392</t>
  </si>
  <si>
    <t>8005803101x58328</t>
  </si>
  <si>
    <t>3129999703X4119</t>
  </si>
  <si>
    <t>8005803101x36658</t>
  </si>
  <si>
    <t>8005803101x37778</t>
  </si>
  <si>
    <t>8005803101x42622</t>
  </si>
  <si>
    <t>8005803101x52309</t>
  </si>
  <si>
    <t>8773524290x1112</t>
  </si>
  <si>
    <t>8005803101x47146</t>
  </si>
  <si>
    <t>8137984055*101</t>
  </si>
  <si>
    <t>8005803101x38074</t>
  </si>
  <si>
    <t>8002639117x2541</t>
  </si>
  <si>
    <t>8002639117x48044</t>
  </si>
  <si>
    <t>8005803101x55238</t>
  </si>
  <si>
    <t>8005803101x47100</t>
  </si>
  <si>
    <t>8005803101x55038</t>
  </si>
  <si>
    <t>2147742640x4338</t>
  </si>
  <si>
    <t>2395675788‬</t>
  </si>
  <si>
    <t>8005803101x43788</t>
  </si>
  <si>
    <t>8005803101x42376</t>
  </si>
  <si>
    <t>5098349180‬</t>
  </si>
  <si>
    <t>8005803101x47190</t>
  </si>
  <si>
    <t>6292577933x1910</t>
  </si>
  <si>
    <t>8005803101x54452</t>
  </si>
  <si>
    <t>‪9133359107‬</t>
  </si>
  <si>
    <t>8005803101x55574</t>
  </si>
  <si>
    <t>8005803101x43962</t>
  </si>
  <si>
    <t>8005803101x55628</t>
  </si>
  <si>
    <t>‪6302425257‬</t>
  </si>
  <si>
    <t>8005803101x37184</t>
  </si>
  <si>
    <t>8005803101x45612</t>
  </si>
  <si>
    <t>8005803101x42824</t>
  </si>
  <si>
    <t>8005803101x54940</t>
  </si>
  <si>
    <t>8005803101x55594</t>
  </si>
  <si>
    <t>8005803101x55082</t>
  </si>
  <si>
    <t>8005803101x52780</t>
  </si>
  <si>
    <t>8005803101x44728</t>
  </si>
  <si>
    <t>6785382613x2613</t>
  </si>
  <si>
    <t>8005803101x47704</t>
  </si>
  <si>
    <t>9792134940/3463148785</t>
  </si>
  <si>
    <t>3177898371/8552912226</t>
  </si>
  <si>
    <t>8005803101x51478</t>
  </si>
  <si>
    <t>8005803101*52438</t>
  </si>
  <si>
    <t>8005803101x42460</t>
  </si>
  <si>
    <t>8005803101x50834</t>
  </si>
  <si>
    <t>8005803101x54108</t>
  </si>
  <si>
    <t>6309125387x1</t>
  </si>
  <si>
    <t>4043057523‬</t>
  </si>
  <si>
    <t>8005803101x43146</t>
  </si>
  <si>
    <t>8005803101x55276</t>
  </si>
  <si>
    <t>8005803101x46652</t>
  </si>
  <si>
    <t>8885047805x415</t>
  </si>
  <si>
    <t>8005803101x45870</t>
  </si>
  <si>
    <t>4707500946X102</t>
  </si>
  <si>
    <t>8706504080X097</t>
  </si>
  <si>
    <t>8005803101x58418</t>
  </si>
  <si>
    <t>9139345131‬</t>
  </si>
  <si>
    <t>7048151660ext.239</t>
  </si>
  <si>
    <t>8597574807X2019</t>
  </si>
  <si>
    <t>9107782415X1977</t>
  </si>
  <si>
    <t>8005803101x47630</t>
  </si>
  <si>
    <t>8005803101x53320</t>
  </si>
  <si>
    <t>8005803101x35694</t>
  </si>
  <si>
    <t>7348575556x247</t>
  </si>
  <si>
    <t>9109009472X1788</t>
  </si>
  <si>
    <t>8005803101x49142</t>
  </si>
  <si>
    <t>3178324521x5208</t>
  </si>
  <si>
    <t>8005803101x38092</t>
  </si>
  <si>
    <t>8005803101x52930</t>
  </si>
  <si>
    <t>8005803101x48438</t>
  </si>
  <si>
    <t>8005803101x43572</t>
  </si>
  <si>
    <t>9109300283X1963</t>
  </si>
  <si>
    <t>8005803101x35884</t>
  </si>
  <si>
    <t>8005803101x36894</t>
  </si>
  <si>
    <t>8005803101x36084</t>
  </si>
  <si>
    <t>Cancled</t>
  </si>
  <si>
    <t>Waiting To Pu</t>
  </si>
  <si>
    <t>Weight LBS</t>
  </si>
  <si>
    <t>Nil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</si>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</sst>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164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90F1-B7AF-4DB3-B8ED-95F45E40D9CC}">
  <dimension ref="A1:Q191"/>
  <sheetViews>
    <sheetView tabSelected="1" zoomScaleNormal="100" workbookViewId="0"/>
  </sheetViews>
  <sheetFormatPr defaultRowHeight="12.75" x14ac:dyDescent="0.2"/>
  <cols>
    <col min="1" max="1" width="37.28515625" bestFit="1" customWidth="1"/>
    <col min="2" max="2" width="23.7109375" bestFit="1" customWidth="1"/>
    <col min="3" max="3" width="22" bestFit="1" customWidth="1"/>
    <col min="4" max="4" width="14.28515625" bestFit="1" customWidth="1"/>
    <col min="5" max="5" width="12.85546875" bestFit="1" customWidth="1"/>
    <col min="6" max="6" width="8.7109375" bestFit="1" customWidth="1"/>
    <col min="7" max="7" width="14.85546875" style="4" bestFit="1" customWidth="1"/>
    <col min="8" max="8" width="22" bestFit="1" customWidth="1"/>
    <col min="9" max="9" width="27.140625" bestFit="1" customWidth="1"/>
    <col min="10" max="10" width="14.140625" style="4" bestFit="1" customWidth="1"/>
    <col min="11" max="11" width="15.5703125" style="4" bestFit="1" customWidth="1"/>
    <col min="12" max="12" width="13.140625" bestFit="1" customWidth="1"/>
    <col min="13" max="13" width="14" bestFit="1" customWidth="1"/>
    <col min="14" max="14" width="10.28515625" style="3" bestFit="1" customWidth="1"/>
    <col min="15" max="15" width="14" bestFit="1" customWidth="1"/>
    <col min="16" max="16" width="13.42578125" bestFit="1" customWidth="1"/>
    <col min="17" max="17" width="7.5703125" style="3" bestFit="1" customWidth="1"/>
  </cols>
  <sheetData>
    <row r="1" spans="1:17" x14ac:dyDescent="0.2">
      <c r="A1" s="9" t="s">
        <v>0</v>
      </c>
      <c r="B1" s="5" t="s">
        <v>1</v>
      </c>
      <c r="C1" s="5" t="s">
        <v>2</v>
      </c>
      <c r="D1" s="5" t="s">
        <v>3</v>
      </c>
      <c r="E1" s="9" t="s">
        <v>4</v>
      </c>
      <c r="F1" s="9" t="s">
        <v>5</v>
      </c>
      <c r="G1" s="10" t="s">
        <v>6</v>
      </c>
      <c r="H1" s="5" t="s">
        <v>7</v>
      </c>
      <c r="I1" s="5" t="s">
        <v>8</v>
      </c>
      <c r="J1" s="10" t="s">
        <v>9</v>
      </c>
      <c r="K1" s="10" t="s">
        <v>10</v>
      </c>
      <c r="L1" s="5" t="s">
        <v>11</v>
      </c>
      <c r="M1" s="5" t="s">
        <v>596</v>
      </c>
      <c r="N1" s="6" t="s">
        <v>12</v>
      </c>
      <c r="O1" s="9" t="s">
        <v>13</v>
      </c>
      <c r="P1" s="9" t="s">
        <v>14</v>
      </c>
      <c r="Q1" s="5" t="s">
        <v>598</v>
      </c>
    </row>
    <row r="2" spans="1:17" x14ac:dyDescent="0.2">
      <c r="A2" s="2" t="s">
        <v>26</v>
      </c>
      <c r="B2" s="2" t="s">
        <v>510</v>
      </c>
      <c r="C2" s="2">
        <v>8666636882</v>
      </c>
      <c r="D2" s="2">
        <v>8494746</v>
      </c>
      <c r="E2" s="2" t="s">
        <v>33</v>
      </c>
      <c r="F2" s="2" t="s">
        <v>37</v>
      </c>
      <c r="G2" s="8">
        <v>46020</v>
      </c>
      <c r="H2" s="2" t="s">
        <v>406</v>
      </c>
      <c r="I2" s="2" t="s">
        <v>407</v>
      </c>
      <c r="J2" s="8">
        <v>46020</v>
      </c>
      <c r="K2" s="8">
        <v>46024</v>
      </c>
      <c r="L2" s="2">
        <v>112</v>
      </c>
      <c r="M2" s="2">
        <v>2199</v>
      </c>
      <c r="N2" s="7">
        <v>1550</v>
      </c>
      <c r="O2" s="2" t="s">
        <v>21</v>
      </c>
      <c r="P2" s="2" t="s">
        <v>21</v>
      </c>
      <c r="Q2" s="3">
        <f>N2*0.03</f>
        <v>46.5</v>
      </c>
    </row>
    <row r="3" spans="1:17" x14ac:dyDescent="0.2">
      <c r="A3" s="2" t="s">
        <v>26</v>
      </c>
      <c r="B3" s="2" t="s">
        <v>410</v>
      </c>
      <c r="C3" s="2">
        <v>6513003722</v>
      </c>
      <c r="D3" s="2">
        <v>126873979</v>
      </c>
      <c r="E3" s="2" t="s">
        <v>33</v>
      </c>
      <c r="F3" s="2" t="s">
        <v>37</v>
      </c>
      <c r="G3" s="8">
        <v>46020</v>
      </c>
      <c r="H3" s="2" t="s">
        <v>411</v>
      </c>
      <c r="I3" s="2" t="s">
        <v>412</v>
      </c>
      <c r="J3" s="8">
        <v>46021</v>
      </c>
      <c r="K3" s="8">
        <v>46024</v>
      </c>
      <c r="L3" s="2">
        <v>556</v>
      </c>
      <c r="M3" s="2">
        <v>2800</v>
      </c>
      <c r="N3" s="7">
        <v>1200</v>
      </c>
      <c r="O3" s="2" t="s">
        <v>21</v>
      </c>
      <c r="P3" s="2" t="s">
        <v>21</v>
      </c>
      <c r="Q3" s="3">
        <f t="shared" ref="Q3:Q66" si="0">N3*0.03</f>
        <v>36</v>
      </c>
    </row>
    <row r="4" spans="1:17" x14ac:dyDescent="0.2">
      <c r="A4" s="2" t="s">
        <v>46</v>
      </c>
      <c r="B4" s="2" t="s">
        <v>467</v>
      </c>
      <c r="C4" s="2" t="s">
        <v>597</v>
      </c>
      <c r="D4" s="2" t="s">
        <v>597</v>
      </c>
      <c r="E4" s="2" t="s">
        <v>47</v>
      </c>
      <c r="F4" s="2" t="s">
        <v>48</v>
      </c>
      <c r="G4" s="8">
        <v>46020</v>
      </c>
      <c r="H4" s="2" t="s">
        <v>425</v>
      </c>
      <c r="I4" s="2" t="s">
        <v>426</v>
      </c>
      <c r="J4" s="8">
        <v>46020</v>
      </c>
      <c r="K4" s="8">
        <v>46021</v>
      </c>
      <c r="L4" s="2">
        <v>550</v>
      </c>
      <c r="M4" s="2">
        <v>3000</v>
      </c>
      <c r="N4" s="7">
        <v>1200</v>
      </c>
      <c r="O4" s="2" t="s">
        <v>21</v>
      </c>
      <c r="P4" s="2" t="s">
        <v>78</v>
      </c>
      <c r="Q4" s="3">
        <f t="shared" si="0"/>
        <v>36</v>
      </c>
    </row>
    <row r="5" spans="1:17" x14ac:dyDescent="0.2">
      <c r="A5" s="2" t="s">
        <v>437</v>
      </c>
      <c r="B5" s="2" t="s">
        <v>467</v>
      </c>
      <c r="C5" s="2" t="s">
        <v>593</v>
      </c>
      <c r="D5" s="2" t="s">
        <v>597</v>
      </c>
      <c r="E5" s="2" t="s">
        <v>33</v>
      </c>
      <c r="F5" s="2" t="s">
        <v>438</v>
      </c>
      <c r="G5" s="8">
        <v>46024</v>
      </c>
      <c r="H5" s="2" t="s">
        <v>454</v>
      </c>
      <c r="I5" s="2" t="s">
        <v>455</v>
      </c>
      <c r="J5" s="8">
        <v>46027</v>
      </c>
      <c r="K5" s="8">
        <v>46030</v>
      </c>
      <c r="L5" s="2">
        <v>2230</v>
      </c>
      <c r="M5" s="2">
        <v>4000</v>
      </c>
      <c r="N5" s="7">
        <v>2100</v>
      </c>
      <c r="O5" s="2" t="s">
        <v>595</v>
      </c>
      <c r="P5" s="2" t="s">
        <v>78</v>
      </c>
      <c r="Q5" s="3">
        <f t="shared" si="0"/>
        <v>63</v>
      </c>
    </row>
    <row r="6" spans="1:17" x14ac:dyDescent="0.2">
      <c r="A6" s="2" t="s">
        <v>466</v>
      </c>
      <c r="B6" s="2" t="s">
        <v>467</v>
      </c>
      <c r="C6" s="2" t="s">
        <v>586</v>
      </c>
      <c r="D6" s="2">
        <v>35058536</v>
      </c>
      <c r="E6" s="2" t="s">
        <v>47</v>
      </c>
      <c r="F6" s="2" t="s">
        <v>88</v>
      </c>
      <c r="G6" s="8">
        <v>46021</v>
      </c>
      <c r="H6" s="2" t="s">
        <v>427</v>
      </c>
      <c r="I6" s="2" t="s">
        <v>428</v>
      </c>
      <c r="J6" s="8">
        <v>46021</v>
      </c>
      <c r="K6" s="8">
        <v>46022</v>
      </c>
      <c r="L6" s="2">
        <v>1500</v>
      </c>
      <c r="M6" s="2">
        <v>5000</v>
      </c>
      <c r="N6" s="7">
        <v>800</v>
      </c>
      <c r="O6" s="2" t="s">
        <v>21</v>
      </c>
      <c r="P6" s="2" t="s">
        <v>78</v>
      </c>
      <c r="Q6" s="3">
        <f t="shared" si="0"/>
        <v>24</v>
      </c>
    </row>
    <row r="7" spans="1:17" x14ac:dyDescent="0.2">
      <c r="A7" s="2" t="s">
        <v>46</v>
      </c>
      <c r="B7" s="2" t="s">
        <v>513</v>
      </c>
      <c r="C7" s="2">
        <v>7086741649</v>
      </c>
      <c r="D7" s="2" t="s">
        <v>597</v>
      </c>
      <c r="E7" s="2" t="s">
        <v>47</v>
      </c>
      <c r="F7" s="2" t="s">
        <v>48</v>
      </c>
      <c r="G7" s="8">
        <v>46021</v>
      </c>
      <c r="H7" s="2" t="s">
        <v>429</v>
      </c>
      <c r="I7" s="2" t="s">
        <v>430</v>
      </c>
      <c r="J7" s="8">
        <v>46021</v>
      </c>
      <c r="K7" s="8">
        <v>46022</v>
      </c>
      <c r="L7" s="2">
        <v>1210</v>
      </c>
      <c r="M7" s="2">
        <v>5000</v>
      </c>
      <c r="N7" s="7">
        <v>700</v>
      </c>
      <c r="O7" s="2" t="s">
        <v>21</v>
      </c>
      <c r="P7" s="2" t="s">
        <v>78</v>
      </c>
      <c r="Q7" s="3">
        <f t="shared" si="0"/>
        <v>21</v>
      </c>
    </row>
    <row r="8" spans="1:17" x14ac:dyDescent="0.2">
      <c r="A8" s="2" t="s">
        <v>26</v>
      </c>
      <c r="B8" s="2" t="s">
        <v>467</v>
      </c>
      <c r="C8" s="2" t="s">
        <v>591</v>
      </c>
      <c r="D8" s="2">
        <v>35092315</v>
      </c>
      <c r="E8" s="2" t="s">
        <v>33</v>
      </c>
      <c r="F8" s="2" t="s">
        <v>27</v>
      </c>
      <c r="G8" s="8">
        <v>46024</v>
      </c>
      <c r="H8" s="2" t="s">
        <v>450</v>
      </c>
      <c r="I8" s="2" t="s">
        <v>451</v>
      </c>
      <c r="J8" s="8">
        <v>46024</v>
      </c>
      <c r="K8" s="8">
        <v>46027</v>
      </c>
      <c r="L8" s="2">
        <v>1860</v>
      </c>
      <c r="M8" s="2">
        <v>6000</v>
      </c>
      <c r="N8" s="7">
        <v>2200</v>
      </c>
      <c r="O8" s="2" t="s">
        <v>354</v>
      </c>
      <c r="P8" s="2" t="s">
        <v>78</v>
      </c>
      <c r="Q8" s="3">
        <f t="shared" si="0"/>
        <v>66</v>
      </c>
    </row>
    <row r="9" spans="1:17" x14ac:dyDescent="0.2">
      <c r="A9" s="2" t="s">
        <v>26</v>
      </c>
      <c r="B9" s="2" t="s">
        <v>467</v>
      </c>
      <c r="C9" s="2" t="s">
        <v>592</v>
      </c>
      <c r="D9" s="2">
        <v>35097531</v>
      </c>
      <c r="E9" s="2" t="s">
        <v>33</v>
      </c>
      <c r="F9" s="2" t="s">
        <v>37</v>
      </c>
      <c r="G9" s="8">
        <v>46024</v>
      </c>
      <c r="H9" s="2" t="s">
        <v>452</v>
      </c>
      <c r="I9" s="2" t="s">
        <v>453</v>
      </c>
      <c r="J9" s="8">
        <v>46027</v>
      </c>
      <c r="K9" s="8">
        <v>46029</v>
      </c>
      <c r="L9" s="2">
        <v>2080</v>
      </c>
      <c r="M9" s="2">
        <v>6000</v>
      </c>
      <c r="N9" s="7">
        <v>2850</v>
      </c>
      <c r="O9" s="2" t="s">
        <v>595</v>
      </c>
      <c r="P9" s="2" t="s">
        <v>78</v>
      </c>
      <c r="Q9" s="3">
        <f t="shared" si="0"/>
        <v>85.5</v>
      </c>
    </row>
    <row r="10" spans="1:17" x14ac:dyDescent="0.2">
      <c r="A10" s="2" t="s">
        <v>466</v>
      </c>
      <c r="B10" s="2" t="s">
        <v>512</v>
      </c>
      <c r="C10" s="2">
        <v>6163566112</v>
      </c>
      <c r="D10" s="2">
        <v>162929</v>
      </c>
      <c r="E10" s="2" t="s">
        <v>47</v>
      </c>
      <c r="F10" s="2" t="s">
        <v>88</v>
      </c>
      <c r="G10" s="8">
        <v>46020</v>
      </c>
      <c r="H10" s="2" t="s">
        <v>423</v>
      </c>
      <c r="I10" s="2" t="s">
        <v>424</v>
      </c>
      <c r="J10" s="8">
        <v>46020</v>
      </c>
      <c r="K10" s="8">
        <v>46021</v>
      </c>
      <c r="L10" s="2">
        <v>250</v>
      </c>
      <c r="M10" s="2">
        <v>8000</v>
      </c>
      <c r="N10" s="7">
        <v>1650</v>
      </c>
      <c r="O10" s="2" t="s">
        <v>21</v>
      </c>
      <c r="P10" s="2" t="s">
        <v>21</v>
      </c>
      <c r="Q10" s="3">
        <f t="shared" si="0"/>
        <v>49.5</v>
      </c>
    </row>
    <row r="11" spans="1:17" x14ac:dyDescent="0.2">
      <c r="A11" s="2" t="s">
        <v>15</v>
      </c>
      <c r="B11" s="2" t="s">
        <v>514</v>
      </c>
      <c r="C11" s="2">
        <v>3126438482</v>
      </c>
      <c r="D11" s="2">
        <v>1651074</v>
      </c>
      <c r="E11" s="2" t="s">
        <v>17</v>
      </c>
      <c r="F11" s="2" t="s">
        <v>18</v>
      </c>
      <c r="G11" s="8">
        <v>46022</v>
      </c>
      <c r="H11" s="2" t="s">
        <v>443</v>
      </c>
      <c r="I11" s="2" t="s">
        <v>380</v>
      </c>
      <c r="J11" s="8">
        <v>45659</v>
      </c>
      <c r="K11" s="8">
        <v>46027</v>
      </c>
      <c r="L11" s="2">
        <v>550</v>
      </c>
      <c r="M11" s="2">
        <v>10000</v>
      </c>
      <c r="N11" s="7">
        <v>1250</v>
      </c>
      <c r="O11" s="2" t="s">
        <v>354</v>
      </c>
      <c r="P11" s="2" t="s">
        <v>78</v>
      </c>
      <c r="Q11" s="3">
        <f t="shared" si="0"/>
        <v>37.5</v>
      </c>
    </row>
    <row r="12" spans="1:17" x14ac:dyDescent="0.2">
      <c r="A12" s="2" t="s">
        <v>466</v>
      </c>
      <c r="B12" s="2" t="s">
        <v>467</v>
      </c>
      <c r="C12" s="2" t="s">
        <v>588</v>
      </c>
      <c r="D12" s="2">
        <v>35080403</v>
      </c>
      <c r="E12" s="2" t="s">
        <v>47</v>
      </c>
      <c r="F12" s="2" t="s">
        <v>88</v>
      </c>
      <c r="G12" s="8">
        <v>46022</v>
      </c>
      <c r="H12" s="2" t="s">
        <v>435</v>
      </c>
      <c r="I12" s="2" t="s">
        <v>436</v>
      </c>
      <c r="J12" s="8">
        <v>46022</v>
      </c>
      <c r="K12" s="8">
        <v>46024</v>
      </c>
      <c r="L12" s="2">
        <v>156</v>
      </c>
      <c r="M12" s="2">
        <v>10000</v>
      </c>
      <c r="N12" s="7">
        <v>1000</v>
      </c>
      <c r="O12" s="2" t="s">
        <v>21</v>
      </c>
      <c r="P12" s="2" t="s">
        <v>78</v>
      </c>
      <c r="Q12" s="3">
        <f t="shared" si="0"/>
        <v>30</v>
      </c>
    </row>
    <row r="13" spans="1:17" x14ac:dyDescent="0.2">
      <c r="A13" s="2" t="s">
        <v>437</v>
      </c>
      <c r="B13" s="2" t="s">
        <v>467</v>
      </c>
      <c r="C13" s="2" t="s">
        <v>589</v>
      </c>
      <c r="D13" s="2">
        <v>35070545</v>
      </c>
      <c r="E13" s="2" t="s">
        <v>47</v>
      </c>
      <c r="F13" s="2" t="s">
        <v>438</v>
      </c>
      <c r="G13" s="8">
        <v>46022</v>
      </c>
      <c r="H13" s="2" t="s">
        <v>439</v>
      </c>
      <c r="I13" s="2" t="s">
        <v>440</v>
      </c>
      <c r="J13" s="8">
        <v>46024</v>
      </c>
      <c r="K13" s="8">
        <v>46027</v>
      </c>
      <c r="L13" s="2">
        <v>250</v>
      </c>
      <c r="M13" s="2">
        <v>10000</v>
      </c>
      <c r="N13" s="7">
        <v>1450</v>
      </c>
      <c r="O13" s="2" t="s">
        <v>595</v>
      </c>
      <c r="P13" s="2" t="s">
        <v>78</v>
      </c>
      <c r="Q13" s="3">
        <f t="shared" si="0"/>
        <v>43.5</v>
      </c>
    </row>
    <row r="14" spans="1:17" x14ac:dyDescent="0.2">
      <c r="A14" s="2" t="s">
        <v>15</v>
      </c>
      <c r="B14" s="2" t="s">
        <v>395</v>
      </c>
      <c r="C14" s="2" t="s">
        <v>582</v>
      </c>
      <c r="D14" s="2">
        <v>892367</v>
      </c>
      <c r="E14" s="2" t="s">
        <v>33</v>
      </c>
      <c r="F14" s="2" t="s">
        <v>379</v>
      </c>
      <c r="G14" s="8">
        <v>46017</v>
      </c>
      <c r="H14" s="2" t="s">
        <v>396</v>
      </c>
      <c r="I14" s="2" t="s">
        <v>397</v>
      </c>
      <c r="J14" s="8">
        <v>46017</v>
      </c>
      <c r="K14" s="8">
        <v>46020</v>
      </c>
      <c r="L14" s="2">
        <v>280</v>
      </c>
      <c r="M14" s="2">
        <v>11902</v>
      </c>
      <c r="N14" s="7">
        <v>2900</v>
      </c>
      <c r="O14" s="2" t="s">
        <v>21</v>
      </c>
      <c r="P14" s="2" t="s">
        <v>78</v>
      </c>
      <c r="Q14" s="3">
        <f t="shared" si="0"/>
        <v>87</v>
      </c>
    </row>
    <row r="15" spans="1:17" x14ac:dyDescent="0.2">
      <c r="A15" s="2" t="s">
        <v>15</v>
      </c>
      <c r="B15" s="2" t="s">
        <v>467</v>
      </c>
      <c r="C15" s="2" t="s">
        <v>571</v>
      </c>
      <c r="D15" s="2">
        <v>35030525</v>
      </c>
      <c r="E15" s="2" t="s">
        <v>33</v>
      </c>
      <c r="F15" s="2" t="s">
        <v>379</v>
      </c>
      <c r="G15" s="8">
        <v>46020</v>
      </c>
      <c r="H15" s="2" t="s">
        <v>401</v>
      </c>
      <c r="I15" s="2" t="s">
        <v>402</v>
      </c>
      <c r="J15" s="8">
        <v>46020</v>
      </c>
      <c r="K15" s="8">
        <v>46022</v>
      </c>
      <c r="L15" s="2">
        <v>2500</v>
      </c>
      <c r="M15" s="2">
        <v>17550</v>
      </c>
      <c r="N15" s="7">
        <v>2200</v>
      </c>
      <c r="O15" s="2" t="s">
        <v>21</v>
      </c>
      <c r="P15" s="2" t="s">
        <v>78</v>
      </c>
      <c r="Q15" s="3">
        <f t="shared" si="0"/>
        <v>66</v>
      </c>
    </row>
    <row r="16" spans="1:17" x14ac:dyDescent="0.2">
      <c r="A16" s="2" t="s">
        <v>15</v>
      </c>
      <c r="B16" s="2" t="s">
        <v>467</v>
      </c>
      <c r="C16" s="2" t="s">
        <v>584</v>
      </c>
      <c r="D16" s="2">
        <v>35007270</v>
      </c>
      <c r="E16" s="2" t="s">
        <v>33</v>
      </c>
      <c r="F16" s="2" t="s">
        <v>18</v>
      </c>
      <c r="G16" s="8">
        <v>46020</v>
      </c>
      <c r="H16" s="2" t="s">
        <v>415</v>
      </c>
      <c r="I16" s="2" t="s">
        <v>416</v>
      </c>
      <c r="J16" s="8">
        <v>46020</v>
      </c>
      <c r="K16" s="8">
        <v>46021</v>
      </c>
      <c r="L16" s="2">
        <v>2600</v>
      </c>
      <c r="M16" s="2">
        <v>19399</v>
      </c>
      <c r="N16" s="7">
        <v>1900</v>
      </c>
      <c r="O16" s="2" t="s">
        <v>21</v>
      </c>
      <c r="P16" s="2" t="s">
        <v>78</v>
      </c>
      <c r="Q16" s="3">
        <f t="shared" si="0"/>
        <v>57</v>
      </c>
    </row>
    <row r="17" spans="1:17" x14ac:dyDescent="0.2">
      <c r="A17" s="2" t="s">
        <v>15</v>
      </c>
      <c r="B17" s="2" t="s">
        <v>471</v>
      </c>
      <c r="C17" s="2">
        <v>8136665603</v>
      </c>
      <c r="D17" s="2" t="s">
        <v>597</v>
      </c>
      <c r="E17" s="2" t="s">
        <v>17</v>
      </c>
      <c r="F17" s="2" t="s">
        <v>379</v>
      </c>
      <c r="G17" s="8">
        <v>46024</v>
      </c>
      <c r="H17" s="2" t="s">
        <v>448</v>
      </c>
      <c r="I17" s="2" t="s">
        <v>449</v>
      </c>
      <c r="J17" s="8">
        <v>46025</v>
      </c>
      <c r="K17" s="8">
        <v>46026</v>
      </c>
      <c r="L17" s="2">
        <v>685</v>
      </c>
      <c r="M17" s="2">
        <v>20000</v>
      </c>
      <c r="N17" s="7">
        <v>2700</v>
      </c>
      <c r="O17" s="2" t="s">
        <v>595</v>
      </c>
      <c r="P17" s="2" t="s">
        <v>78</v>
      </c>
      <c r="Q17" s="3">
        <f t="shared" si="0"/>
        <v>81</v>
      </c>
    </row>
    <row r="18" spans="1:17" x14ac:dyDescent="0.2">
      <c r="A18" s="2" t="s">
        <v>465</v>
      </c>
      <c r="B18" s="2" t="s">
        <v>417</v>
      </c>
      <c r="C18" s="2">
        <v>3232713856</v>
      </c>
      <c r="D18" s="2">
        <v>145680</v>
      </c>
      <c r="E18" s="2" t="s">
        <v>33</v>
      </c>
      <c r="F18" s="2" t="s">
        <v>79</v>
      </c>
      <c r="G18" s="8">
        <v>46020</v>
      </c>
      <c r="H18" s="2" t="s">
        <v>418</v>
      </c>
      <c r="I18" s="2" t="s">
        <v>419</v>
      </c>
      <c r="J18" s="8">
        <v>46020</v>
      </c>
      <c r="K18" s="8">
        <v>46022</v>
      </c>
      <c r="L18" s="2">
        <v>1800</v>
      </c>
      <c r="M18" s="2">
        <v>30000</v>
      </c>
      <c r="N18" s="7">
        <v>2400</v>
      </c>
      <c r="O18" s="2" t="s">
        <v>21</v>
      </c>
      <c r="P18" s="2" t="s">
        <v>21</v>
      </c>
      <c r="Q18" s="3">
        <f t="shared" si="0"/>
        <v>72</v>
      </c>
    </row>
    <row r="19" spans="1:17" x14ac:dyDescent="0.2">
      <c r="A19" s="2" t="s">
        <v>15</v>
      </c>
      <c r="B19" s="2" t="s">
        <v>420</v>
      </c>
      <c r="C19" s="2" t="s">
        <v>585</v>
      </c>
      <c r="D19" s="2">
        <v>6399533</v>
      </c>
      <c r="E19" s="2" t="s">
        <v>33</v>
      </c>
      <c r="F19" s="2" t="s">
        <v>18</v>
      </c>
      <c r="G19" s="8">
        <v>46020</v>
      </c>
      <c r="H19" s="2" t="s">
        <v>421</v>
      </c>
      <c r="I19" s="2" t="s">
        <v>422</v>
      </c>
      <c r="J19" s="8">
        <v>46021</v>
      </c>
      <c r="K19" s="8">
        <v>46022</v>
      </c>
      <c r="L19" s="2">
        <v>1650</v>
      </c>
      <c r="M19" s="2">
        <v>30000</v>
      </c>
      <c r="N19" s="7">
        <v>1800</v>
      </c>
      <c r="O19" s="2" t="s">
        <v>21</v>
      </c>
      <c r="P19" s="2" t="s">
        <v>78</v>
      </c>
      <c r="Q19" s="3">
        <f t="shared" si="0"/>
        <v>54</v>
      </c>
    </row>
    <row r="20" spans="1:17" x14ac:dyDescent="0.2">
      <c r="A20" s="2" t="s">
        <v>15</v>
      </c>
      <c r="B20" s="2" t="s">
        <v>135</v>
      </c>
      <c r="C20" s="2">
        <v>9135535511</v>
      </c>
      <c r="D20" s="2" t="s">
        <v>597</v>
      </c>
      <c r="E20" s="2" t="s">
        <v>17</v>
      </c>
      <c r="F20" s="2" t="s">
        <v>18</v>
      </c>
      <c r="G20" s="8">
        <v>46024</v>
      </c>
      <c r="H20" s="2" t="s">
        <v>229</v>
      </c>
      <c r="I20" s="2" t="s">
        <v>447</v>
      </c>
      <c r="J20" s="8">
        <v>46027</v>
      </c>
      <c r="K20" s="8">
        <v>46028</v>
      </c>
      <c r="L20" s="2">
        <v>635</v>
      </c>
      <c r="M20" s="2">
        <v>36500</v>
      </c>
      <c r="N20" s="7">
        <v>1600</v>
      </c>
      <c r="O20" s="2" t="s">
        <v>595</v>
      </c>
      <c r="P20" s="2" t="s">
        <v>78</v>
      </c>
      <c r="Q20" s="3">
        <f t="shared" si="0"/>
        <v>48</v>
      </c>
    </row>
    <row r="21" spans="1:17" x14ac:dyDescent="0.2">
      <c r="A21" s="2" t="s">
        <v>15</v>
      </c>
      <c r="B21" s="2" t="s">
        <v>413</v>
      </c>
      <c r="C21" s="2">
        <v>9725811527</v>
      </c>
      <c r="D21" s="2">
        <v>2002738712</v>
      </c>
      <c r="E21" s="2" t="s">
        <v>33</v>
      </c>
      <c r="F21" s="2" t="s">
        <v>52</v>
      </c>
      <c r="G21" s="8">
        <v>46020</v>
      </c>
      <c r="H21" s="2" t="s">
        <v>414</v>
      </c>
      <c r="I21" s="2" t="s">
        <v>63</v>
      </c>
      <c r="J21" s="8">
        <v>46021</v>
      </c>
      <c r="K21" s="8">
        <v>46022</v>
      </c>
      <c r="L21" s="2">
        <v>750</v>
      </c>
      <c r="M21" s="2">
        <v>36593</v>
      </c>
      <c r="N21" s="7">
        <v>1200</v>
      </c>
      <c r="O21" s="2" t="s">
        <v>21</v>
      </c>
      <c r="P21" s="2" t="s">
        <v>21</v>
      </c>
      <c r="Q21" s="3">
        <f t="shared" si="0"/>
        <v>36</v>
      </c>
    </row>
    <row r="22" spans="1:17" x14ac:dyDescent="0.2">
      <c r="A22" s="2" t="s">
        <v>15</v>
      </c>
      <c r="B22" s="2" t="s">
        <v>515</v>
      </c>
      <c r="C22" s="2">
        <v>2172474677</v>
      </c>
      <c r="D22" s="2" t="s">
        <v>444</v>
      </c>
      <c r="E22" s="2" t="s">
        <v>17</v>
      </c>
      <c r="F22" s="2" t="s">
        <v>379</v>
      </c>
      <c r="G22" s="8">
        <v>46022</v>
      </c>
      <c r="H22" s="2" t="s">
        <v>445</v>
      </c>
      <c r="I22" s="2" t="s">
        <v>446</v>
      </c>
      <c r="J22" s="8">
        <v>46024</v>
      </c>
      <c r="K22" s="8">
        <v>46025</v>
      </c>
      <c r="L22" s="2">
        <v>620</v>
      </c>
      <c r="M22" s="2">
        <v>40000</v>
      </c>
      <c r="N22" s="7">
        <v>1500</v>
      </c>
      <c r="O22" s="2" t="s">
        <v>595</v>
      </c>
      <c r="P22" s="2" t="s">
        <v>78</v>
      </c>
      <c r="Q22" s="3">
        <f t="shared" si="0"/>
        <v>45</v>
      </c>
    </row>
    <row r="23" spans="1:17" x14ac:dyDescent="0.2">
      <c r="A23" s="2" t="s">
        <v>15</v>
      </c>
      <c r="B23" s="2" t="s">
        <v>403</v>
      </c>
      <c r="C23" s="2" t="s">
        <v>583</v>
      </c>
      <c r="D23" s="2">
        <v>2440013</v>
      </c>
      <c r="E23" s="2" t="s">
        <v>33</v>
      </c>
      <c r="F23" s="2" t="s">
        <v>52</v>
      </c>
      <c r="G23" s="8">
        <v>46020</v>
      </c>
      <c r="H23" s="2" t="s">
        <v>404</v>
      </c>
      <c r="I23" s="2" t="s">
        <v>405</v>
      </c>
      <c r="J23" s="8">
        <v>46020</v>
      </c>
      <c r="K23" s="8">
        <v>46021</v>
      </c>
      <c r="L23" s="2">
        <v>610</v>
      </c>
      <c r="M23" s="2">
        <v>40000</v>
      </c>
      <c r="N23" s="7">
        <v>3100</v>
      </c>
      <c r="O23" s="2" t="s">
        <v>21</v>
      </c>
      <c r="P23" s="2" t="s">
        <v>21</v>
      </c>
      <c r="Q23" s="3">
        <f t="shared" si="0"/>
        <v>93</v>
      </c>
    </row>
    <row r="24" spans="1:17" x14ac:dyDescent="0.2">
      <c r="A24" s="2" t="s">
        <v>15</v>
      </c>
      <c r="B24" s="2" t="s">
        <v>432</v>
      </c>
      <c r="C24" s="2">
        <v>6592185358</v>
      </c>
      <c r="D24" s="2">
        <v>1594641</v>
      </c>
      <c r="E24" s="2" t="s">
        <v>17</v>
      </c>
      <c r="F24" s="2" t="s">
        <v>18</v>
      </c>
      <c r="G24" s="8">
        <v>46021</v>
      </c>
      <c r="H24" s="2" t="s">
        <v>433</v>
      </c>
      <c r="I24" s="2" t="s">
        <v>434</v>
      </c>
      <c r="J24" s="8">
        <v>46022</v>
      </c>
      <c r="K24" s="8">
        <v>46024</v>
      </c>
      <c r="L24" s="2">
        <v>630</v>
      </c>
      <c r="M24" s="2">
        <v>40000</v>
      </c>
      <c r="N24" s="7">
        <v>2500</v>
      </c>
      <c r="O24" s="2" t="s">
        <v>21</v>
      </c>
      <c r="P24" s="2" t="s">
        <v>78</v>
      </c>
      <c r="Q24" s="3">
        <f t="shared" si="0"/>
        <v>75</v>
      </c>
    </row>
    <row r="25" spans="1:17" x14ac:dyDescent="0.2">
      <c r="A25" s="2" t="s">
        <v>464</v>
      </c>
      <c r="B25" s="2" t="s">
        <v>403</v>
      </c>
      <c r="C25" s="2" t="s">
        <v>590</v>
      </c>
      <c r="D25" s="2">
        <v>2342964</v>
      </c>
      <c r="E25" s="2" t="s">
        <v>33</v>
      </c>
      <c r="F25" s="2" t="s">
        <v>34</v>
      </c>
      <c r="G25" s="8">
        <v>46022</v>
      </c>
      <c r="H25" s="2" t="s">
        <v>441</v>
      </c>
      <c r="I25" s="2" t="s">
        <v>442</v>
      </c>
      <c r="J25" s="8">
        <v>46022</v>
      </c>
      <c r="K25" s="8">
        <v>46023</v>
      </c>
      <c r="L25" s="2">
        <v>204</v>
      </c>
      <c r="M25" s="2">
        <v>42500</v>
      </c>
      <c r="N25" s="7">
        <v>1450</v>
      </c>
      <c r="O25" s="2" t="s">
        <v>594</v>
      </c>
      <c r="P25" s="2" t="s">
        <v>78</v>
      </c>
      <c r="Q25" s="3">
        <f t="shared" si="0"/>
        <v>43.5</v>
      </c>
    </row>
    <row r="26" spans="1:17" x14ac:dyDescent="0.2">
      <c r="A26" s="2" t="s">
        <v>15</v>
      </c>
      <c r="B26" s="2" t="s">
        <v>16</v>
      </c>
      <c r="C26" s="2">
        <v>9182000185</v>
      </c>
      <c r="D26" s="2">
        <v>226346</v>
      </c>
      <c r="E26" s="2" t="s">
        <v>17</v>
      </c>
      <c r="F26" s="2" t="s">
        <v>18</v>
      </c>
      <c r="G26" s="8">
        <v>45937</v>
      </c>
      <c r="H26" s="2" t="s">
        <v>19</v>
      </c>
      <c r="I26" s="2" t="s">
        <v>20</v>
      </c>
      <c r="J26" s="8">
        <v>45937</v>
      </c>
      <c r="K26" s="8">
        <v>45940</v>
      </c>
      <c r="L26" s="2">
        <v>55</v>
      </c>
      <c r="M26" s="2">
        <v>1218</v>
      </c>
      <c r="N26" s="7">
        <v>1550</v>
      </c>
      <c r="O26" s="2" t="s">
        <v>21</v>
      </c>
      <c r="P26" s="2" t="s">
        <v>22</v>
      </c>
      <c r="Q26" s="3">
        <f t="shared" si="0"/>
        <v>46.5</v>
      </c>
    </row>
    <row r="27" spans="1:17" x14ac:dyDescent="0.2">
      <c r="A27" s="2" t="s">
        <v>15</v>
      </c>
      <c r="B27" s="2" t="s">
        <v>23</v>
      </c>
      <c r="C27" s="2">
        <v>9136930588</v>
      </c>
      <c r="D27" s="2">
        <v>5517341</v>
      </c>
      <c r="E27" s="2" t="s">
        <v>17</v>
      </c>
      <c r="F27" s="2" t="s">
        <v>18</v>
      </c>
      <c r="G27" s="8">
        <v>45937</v>
      </c>
      <c r="H27" s="2" t="s">
        <v>24</v>
      </c>
      <c r="I27" s="2" t="s">
        <v>25</v>
      </c>
      <c r="J27" s="8">
        <v>45940</v>
      </c>
      <c r="K27" s="8">
        <v>45971</v>
      </c>
      <c r="L27" s="2">
        <v>56</v>
      </c>
      <c r="M27" s="2">
        <v>1219</v>
      </c>
      <c r="N27" s="7">
        <v>1600</v>
      </c>
      <c r="O27" s="2" t="s">
        <v>21</v>
      </c>
      <c r="P27" s="2" t="s">
        <v>22</v>
      </c>
      <c r="Q27" s="3">
        <f t="shared" si="0"/>
        <v>48</v>
      </c>
    </row>
    <row r="28" spans="1:17" x14ac:dyDescent="0.2">
      <c r="A28" s="2" t="s">
        <v>26</v>
      </c>
      <c r="B28" s="2" t="s">
        <v>467</v>
      </c>
      <c r="C28" s="2" t="s">
        <v>516</v>
      </c>
      <c r="D28" s="2">
        <v>34443021</v>
      </c>
      <c r="E28" s="2" t="s">
        <v>17</v>
      </c>
      <c r="F28" s="2" t="s">
        <v>27</v>
      </c>
      <c r="G28" s="8">
        <v>45967</v>
      </c>
      <c r="H28" s="2" t="s">
        <v>28</v>
      </c>
      <c r="I28" s="2" t="s">
        <v>29</v>
      </c>
      <c r="J28" s="8">
        <v>45967</v>
      </c>
      <c r="K28" s="8">
        <v>45971</v>
      </c>
      <c r="L28" s="2">
        <v>57</v>
      </c>
      <c r="M28" s="2">
        <v>1220</v>
      </c>
      <c r="N28" s="7">
        <v>3000</v>
      </c>
      <c r="O28" s="2" t="s">
        <v>21</v>
      </c>
      <c r="P28" s="2" t="s">
        <v>22</v>
      </c>
      <c r="Q28" s="3">
        <f t="shared" si="0"/>
        <v>90</v>
      </c>
    </row>
    <row r="29" spans="1:17" x14ac:dyDescent="0.2">
      <c r="A29" s="2" t="s">
        <v>464</v>
      </c>
      <c r="B29" s="2" t="s">
        <v>31</v>
      </c>
      <c r="C29" s="2" t="s">
        <v>597</v>
      </c>
      <c r="D29" s="2" t="s">
        <v>32</v>
      </c>
      <c r="E29" s="2" t="s">
        <v>33</v>
      </c>
      <c r="F29" s="2" t="s">
        <v>34</v>
      </c>
      <c r="G29" s="8">
        <v>45967</v>
      </c>
      <c r="H29" s="2" t="s">
        <v>35</v>
      </c>
      <c r="I29" s="2" t="s">
        <v>36</v>
      </c>
      <c r="J29" s="8">
        <v>45969</v>
      </c>
      <c r="K29" s="8">
        <v>45972</v>
      </c>
      <c r="L29" s="2">
        <v>58</v>
      </c>
      <c r="M29" s="2">
        <v>1221</v>
      </c>
      <c r="N29" s="7">
        <v>3150</v>
      </c>
      <c r="O29" s="2" t="s">
        <v>21</v>
      </c>
      <c r="P29" s="2" t="s">
        <v>78</v>
      </c>
      <c r="Q29" s="3">
        <f t="shared" si="0"/>
        <v>94.5</v>
      </c>
    </row>
    <row r="30" spans="1:17" x14ac:dyDescent="0.2">
      <c r="A30" s="2" t="s">
        <v>26</v>
      </c>
      <c r="B30" s="2" t="s">
        <v>467</v>
      </c>
      <c r="C30" s="2" t="s">
        <v>517</v>
      </c>
      <c r="D30" s="2">
        <v>34466997</v>
      </c>
      <c r="E30" s="2" t="s">
        <v>33</v>
      </c>
      <c r="F30" s="2" t="s">
        <v>37</v>
      </c>
      <c r="G30" s="8">
        <v>45971</v>
      </c>
      <c r="H30" s="2" t="s">
        <v>38</v>
      </c>
      <c r="I30" s="2" t="s">
        <v>39</v>
      </c>
      <c r="J30" s="8">
        <v>45971</v>
      </c>
      <c r="K30" s="8">
        <v>45974</v>
      </c>
      <c r="L30" s="2">
        <v>59</v>
      </c>
      <c r="M30" s="2">
        <v>1222</v>
      </c>
      <c r="N30" s="7">
        <v>2800</v>
      </c>
      <c r="O30" s="2" t="s">
        <v>21</v>
      </c>
      <c r="P30" s="2" t="s">
        <v>22</v>
      </c>
      <c r="Q30" s="3">
        <f t="shared" si="0"/>
        <v>84</v>
      </c>
    </row>
    <row r="31" spans="1:17" x14ac:dyDescent="0.2">
      <c r="A31" s="2" t="s">
        <v>465</v>
      </c>
      <c r="B31" s="2" t="s">
        <v>41</v>
      </c>
      <c r="C31" s="2">
        <v>7045174917</v>
      </c>
      <c r="D31" s="2" t="s">
        <v>42</v>
      </c>
      <c r="E31" s="2" t="s">
        <v>17</v>
      </c>
      <c r="F31" s="2" t="s">
        <v>43</v>
      </c>
      <c r="G31" s="8">
        <v>45971</v>
      </c>
      <c r="H31" s="2" t="s">
        <v>44</v>
      </c>
      <c r="I31" s="2" t="s">
        <v>45</v>
      </c>
      <c r="J31" s="8">
        <v>45971</v>
      </c>
      <c r="K31" s="8">
        <v>45972</v>
      </c>
      <c r="L31" s="2">
        <v>60</v>
      </c>
      <c r="M31" s="2">
        <v>1223</v>
      </c>
      <c r="N31" s="7">
        <v>1870</v>
      </c>
      <c r="O31" s="2" t="s">
        <v>21</v>
      </c>
      <c r="P31" s="2" t="s">
        <v>78</v>
      </c>
      <c r="Q31" s="3">
        <f t="shared" si="0"/>
        <v>56.1</v>
      </c>
    </row>
    <row r="32" spans="1:17" x14ac:dyDescent="0.2">
      <c r="A32" s="2" t="s">
        <v>46</v>
      </c>
      <c r="B32" s="2" t="s">
        <v>467</v>
      </c>
      <c r="C32" s="2" t="s">
        <v>518</v>
      </c>
      <c r="D32" s="2">
        <v>34463232</v>
      </c>
      <c r="E32" s="2" t="s">
        <v>47</v>
      </c>
      <c r="F32" s="2" t="s">
        <v>48</v>
      </c>
      <c r="G32" s="8">
        <v>45968</v>
      </c>
      <c r="H32" s="2" t="s">
        <v>49</v>
      </c>
      <c r="I32" s="2" t="s">
        <v>50</v>
      </c>
      <c r="J32" s="8">
        <v>45971</v>
      </c>
      <c r="K32" s="8">
        <v>45973</v>
      </c>
      <c r="L32" s="2">
        <v>61</v>
      </c>
      <c r="M32" s="2">
        <v>1224</v>
      </c>
      <c r="N32" s="7">
        <v>900</v>
      </c>
      <c r="O32" s="2" t="s">
        <v>21</v>
      </c>
      <c r="P32" s="2" t="s">
        <v>78</v>
      </c>
      <c r="Q32" s="3">
        <f t="shared" si="0"/>
        <v>27</v>
      </c>
    </row>
    <row r="33" spans="1:17" x14ac:dyDescent="0.2">
      <c r="A33" s="2" t="s">
        <v>15</v>
      </c>
      <c r="B33" s="2" t="s">
        <v>51</v>
      </c>
      <c r="C33" s="2">
        <v>8014074118</v>
      </c>
      <c r="D33" s="2">
        <v>1158744</v>
      </c>
      <c r="E33" s="2" t="s">
        <v>33</v>
      </c>
      <c r="F33" s="2" t="s">
        <v>52</v>
      </c>
      <c r="G33" s="8">
        <v>45971</v>
      </c>
      <c r="H33" s="2" t="s">
        <v>53</v>
      </c>
      <c r="I33" s="2" t="s">
        <v>54</v>
      </c>
      <c r="J33" s="8">
        <v>45971</v>
      </c>
      <c r="K33" s="8">
        <v>45973</v>
      </c>
      <c r="L33" s="2">
        <v>62</v>
      </c>
      <c r="M33" s="2">
        <v>1225</v>
      </c>
      <c r="N33" s="7">
        <v>1900</v>
      </c>
      <c r="O33" s="2" t="s">
        <v>21</v>
      </c>
      <c r="P33" s="2" t="s">
        <v>22</v>
      </c>
      <c r="Q33" s="3">
        <f t="shared" si="0"/>
        <v>57</v>
      </c>
    </row>
    <row r="34" spans="1:17" x14ac:dyDescent="0.2">
      <c r="A34" s="2" t="s">
        <v>26</v>
      </c>
      <c r="B34" s="2" t="s">
        <v>55</v>
      </c>
      <c r="C34" s="2">
        <v>9142460776</v>
      </c>
      <c r="D34" s="2">
        <v>44746</v>
      </c>
      <c r="E34" s="2" t="s">
        <v>33</v>
      </c>
      <c r="F34" s="2" t="s">
        <v>27</v>
      </c>
      <c r="G34" s="8">
        <v>45971</v>
      </c>
      <c r="H34" s="2" t="s">
        <v>56</v>
      </c>
      <c r="I34" s="2" t="s">
        <v>57</v>
      </c>
      <c r="J34" s="8">
        <v>45971</v>
      </c>
      <c r="K34" s="8">
        <v>45975</v>
      </c>
      <c r="L34" s="2">
        <v>63</v>
      </c>
      <c r="M34" s="2">
        <v>1226</v>
      </c>
      <c r="N34" s="7">
        <v>3500</v>
      </c>
      <c r="O34" s="2" t="s">
        <v>21</v>
      </c>
      <c r="P34" s="2" t="s">
        <v>22</v>
      </c>
      <c r="Q34" s="3">
        <f t="shared" si="0"/>
        <v>105</v>
      </c>
    </row>
    <row r="35" spans="1:17" x14ac:dyDescent="0.2">
      <c r="A35" s="2" t="s">
        <v>26</v>
      </c>
      <c r="B35" s="2" t="s">
        <v>467</v>
      </c>
      <c r="C35" s="2" t="s">
        <v>519</v>
      </c>
      <c r="D35" s="2">
        <v>34480512</v>
      </c>
      <c r="E35" s="2" t="s">
        <v>33</v>
      </c>
      <c r="F35" s="2" t="s">
        <v>27</v>
      </c>
      <c r="G35" s="8">
        <v>45971</v>
      </c>
      <c r="H35" s="2" t="s">
        <v>58</v>
      </c>
      <c r="I35" s="2" t="s">
        <v>59</v>
      </c>
      <c r="J35" s="8">
        <v>45971</v>
      </c>
      <c r="K35" s="8">
        <v>45975</v>
      </c>
      <c r="L35" s="2">
        <v>64</v>
      </c>
      <c r="M35" s="2">
        <v>1227</v>
      </c>
      <c r="N35" s="7">
        <v>2050</v>
      </c>
      <c r="O35" s="2" t="s">
        <v>21</v>
      </c>
      <c r="P35" s="2" t="s">
        <v>22</v>
      </c>
      <c r="Q35" s="3">
        <f t="shared" si="0"/>
        <v>61.5</v>
      </c>
    </row>
    <row r="36" spans="1:17" x14ac:dyDescent="0.2">
      <c r="A36" s="2" t="s">
        <v>465</v>
      </c>
      <c r="B36" s="2" t="s">
        <v>468</v>
      </c>
      <c r="C36" s="2">
        <v>7739042023</v>
      </c>
      <c r="D36" s="2">
        <v>36166</v>
      </c>
      <c r="E36" s="2" t="s">
        <v>17</v>
      </c>
      <c r="F36" s="2" t="s">
        <v>60</v>
      </c>
      <c r="G36" s="8">
        <v>45971</v>
      </c>
      <c r="H36" s="2" t="s">
        <v>61</v>
      </c>
      <c r="I36" s="2" t="s">
        <v>62</v>
      </c>
      <c r="J36" s="8">
        <v>45971</v>
      </c>
      <c r="K36" s="8">
        <v>45974</v>
      </c>
      <c r="L36" s="2">
        <v>65</v>
      </c>
      <c r="M36" s="2">
        <v>1228</v>
      </c>
      <c r="N36" s="7">
        <v>3250</v>
      </c>
      <c r="O36" s="2" t="s">
        <v>21</v>
      </c>
      <c r="P36" s="2" t="s">
        <v>78</v>
      </c>
      <c r="Q36" s="3">
        <f t="shared" si="0"/>
        <v>97.5</v>
      </c>
    </row>
    <row r="37" spans="1:17" x14ac:dyDescent="0.2">
      <c r="A37" s="2" t="s">
        <v>15</v>
      </c>
      <c r="B37" s="2" t="s">
        <v>467</v>
      </c>
      <c r="C37" s="2" t="s">
        <v>520</v>
      </c>
      <c r="D37" s="2">
        <v>34481198</v>
      </c>
      <c r="E37" s="2" t="s">
        <v>33</v>
      </c>
      <c r="F37" s="2" t="s">
        <v>18</v>
      </c>
      <c r="G37" s="8">
        <v>45972</v>
      </c>
      <c r="H37" s="2" t="s">
        <v>63</v>
      </c>
      <c r="I37" s="2" t="s">
        <v>64</v>
      </c>
      <c r="J37" s="8">
        <v>45972</v>
      </c>
      <c r="K37" s="8">
        <v>45972</v>
      </c>
      <c r="L37" s="2">
        <v>66</v>
      </c>
      <c r="M37" s="2">
        <v>1229</v>
      </c>
      <c r="N37" s="7">
        <v>600</v>
      </c>
      <c r="O37" s="2" t="s">
        <v>21</v>
      </c>
      <c r="P37" s="2" t="s">
        <v>22</v>
      </c>
      <c r="Q37" s="3">
        <f t="shared" si="0"/>
        <v>18</v>
      </c>
    </row>
    <row r="38" spans="1:17" x14ac:dyDescent="0.2">
      <c r="A38" s="2" t="s">
        <v>15</v>
      </c>
      <c r="B38" s="2" t="s">
        <v>65</v>
      </c>
      <c r="C38" s="2" t="s">
        <v>521</v>
      </c>
      <c r="D38" s="2">
        <v>944878</v>
      </c>
      <c r="E38" s="2" t="s">
        <v>33</v>
      </c>
      <c r="F38" s="2" t="s">
        <v>52</v>
      </c>
      <c r="G38" s="8">
        <v>45972</v>
      </c>
      <c r="H38" s="2" t="s">
        <v>66</v>
      </c>
      <c r="I38" s="2" t="s">
        <v>67</v>
      </c>
      <c r="J38" s="8">
        <v>45972</v>
      </c>
      <c r="K38" s="8">
        <v>45972</v>
      </c>
      <c r="L38" s="2">
        <v>67</v>
      </c>
      <c r="M38" s="2">
        <v>1230</v>
      </c>
      <c r="N38" s="7">
        <v>1000</v>
      </c>
      <c r="O38" s="2" t="s">
        <v>21</v>
      </c>
      <c r="P38" s="2" t="s">
        <v>22</v>
      </c>
      <c r="Q38" s="3">
        <f t="shared" si="0"/>
        <v>30</v>
      </c>
    </row>
    <row r="39" spans="1:17" x14ac:dyDescent="0.2">
      <c r="A39" s="2" t="s">
        <v>15</v>
      </c>
      <c r="B39" s="2" t="s">
        <v>68</v>
      </c>
      <c r="C39" s="2">
        <v>2568911857</v>
      </c>
      <c r="D39" s="2">
        <v>133015</v>
      </c>
      <c r="E39" s="2" t="s">
        <v>33</v>
      </c>
      <c r="F39" s="2" t="s">
        <v>52</v>
      </c>
      <c r="G39" s="8">
        <v>45973</v>
      </c>
      <c r="H39" s="2" t="s">
        <v>69</v>
      </c>
      <c r="I39" s="2" t="s">
        <v>70</v>
      </c>
      <c r="J39" s="8">
        <v>45973</v>
      </c>
      <c r="K39" s="8">
        <v>45974</v>
      </c>
      <c r="L39" s="2">
        <v>68</v>
      </c>
      <c r="M39" s="2">
        <v>1231</v>
      </c>
      <c r="N39" s="7">
        <v>1350</v>
      </c>
      <c r="O39" s="2" t="s">
        <v>21</v>
      </c>
      <c r="P39" s="2" t="s">
        <v>22</v>
      </c>
      <c r="Q39" s="3">
        <f t="shared" si="0"/>
        <v>40.5</v>
      </c>
    </row>
    <row r="40" spans="1:17" x14ac:dyDescent="0.2">
      <c r="A40" s="2" t="s">
        <v>15</v>
      </c>
      <c r="B40" s="2" t="s">
        <v>469</v>
      </c>
      <c r="C40" s="2">
        <v>8006431128</v>
      </c>
      <c r="D40" s="2">
        <v>1958962</v>
      </c>
      <c r="E40" s="2" t="s">
        <v>17</v>
      </c>
      <c r="F40" s="2" t="s">
        <v>71</v>
      </c>
      <c r="G40" s="8">
        <v>45971</v>
      </c>
      <c r="H40" s="2" t="s">
        <v>72</v>
      </c>
      <c r="I40" s="2" t="s">
        <v>73</v>
      </c>
      <c r="J40" s="8">
        <v>45973</v>
      </c>
      <c r="K40" s="8">
        <v>45974</v>
      </c>
      <c r="L40" s="2">
        <v>69</v>
      </c>
      <c r="M40" s="2">
        <v>2530</v>
      </c>
      <c r="N40" s="7">
        <v>1100</v>
      </c>
      <c r="O40" s="2" t="s">
        <v>21</v>
      </c>
      <c r="P40" s="2" t="s">
        <v>78</v>
      </c>
      <c r="Q40" s="3">
        <f t="shared" si="0"/>
        <v>33</v>
      </c>
    </row>
    <row r="41" spans="1:17" x14ac:dyDescent="0.2">
      <c r="A41" s="2" t="s">
        <v>26</v>
      </c>
      <c r="B41" s="2" t="s">
        <v>467</v>
      </c>
      <c r="C41" s="2" t="s">
        <v>522</v>
      </c>
      <c r="D41" s="2">
        <v>34500019</v>
      </c>
      <c r="E41" s="2" t="s">
        <v>33</v>
      </c>
      <c r="F41" s="2" t="s">
        <v>37</v>
      </c>
      <c r="G41" s="8">
        <v>45973</v>
      </c>
      <c r="H41" s="2" t="s">
        <v>74</v>
      </c>
      <c r="I41" s="2" t="s">
        <v>75</v>
      </c>
      <c r="J41" s="8">
        <v>45974</v>
      </c>
      <c r="K41" s="8">
        <v>45975</v>
      </c>
      <c r="L41" s="2">
        <v>105</v>
      </c>
      <c r="M41" s="2">
        <v>2531</v>
      </c>
      <c r="N41" s="7">
        <v>1500</v>
      </c>
      <c r="O41" s="2" t="s">
        <v>21</v>
      </c>
      <c r="P41" s="2" t="s">
        <v>22</v>
      </c>
      <c r="Q41" s="3">
        <f t="shared" si="0"/>
        <v>45</v>
      </c>
    </row>
    <row r="42" spans="1:17" x14ac:dyDescent="0.2">
      <c r="A42" s="2" t="s">
        <v>26</v>
      </c>
      <c r="B42" s="2" t="s">
        <v>467</v>
      </c>
      <c r="C42" s="2" t="s">
        <v>523</v>
      </c>
      <c r="D42" s="2">
        <v>34480964</v>
      </c>
      <c r="E42" s="2" t="s">
        <v>33</v>
      </c>
      <c r="F42" s="2" t="s">
        <v>27</v>
      </c>
      <c r="G42" s="8">
        <v>45973</v>
      </c>
      <c r="H42" s="2" t="s">
        <v>76</v>
      </c>
      <c r="I42" s="2" t="s">
        <v>77</v>
      </c>
      <c r="J42" s="8">
        <v>45975</v>
      </c>
      <c r="K42" s="8">
        <v>45978</v>
      </c>
      <c r="L42" s="2">
        <v>106</v>
      </c>
      <c r="M42" s="2">
        <v>2532</v>
      </c>
      <c r="N42" s="7">
        <v>1825</v>
      </c>
      <c r="O42" s="2" t="s">
        <v>594</v>
      </c>
      <c r="P42" s="2" t="s">
        <v>78</v>
      </c>
      <c r="Q42" s="3">
        <f t="shared" si="0"/>
        <v>54.75</v>
      </c>
    </row>
    <row r="43" spans="1:17" x14ac:dyDescent="0.2">
      <c r="A43" s="2" t="s">
        <v>465</v>
      </c>
      <c r="B43" s="2" t="s">
        <v>470</v>
      </c>
      <c r="C43" s="2">
        <v>5134075050</v>
      </c>
      <c r="D43" s="2">
        <v>30081205</v>
      </c>
      <c r="E43" s="2" t="s">
        <v>17</v>
      </c>
      <c r="F43" s="2" t="s">
        <v>79</v>
      </c>
      <c r="G43" s="8">
        <v>45973</v>
      </c>
      <c r="H43" s="2" t="s">
        <v>80</v>
      </c>
      <c r="I43" s="2" t="s">
        <v>81</v>
      </c>
      <c r="J43" s="8">
        <v>45973</v>
      </c>
      <c r="K43" s="8">
        <v>45975</v>
      </c>
      <c r="L43" s="2">
        <v>107</v>
      </c>
      <c r="M43" s="2">
        <v>2533</v>
      </c>
      <c r="N43" s="7">
        <v>1775</v>
      </c>
      <c r="O43" s="2" t="s">
        <v>21</v>
      </c>
      <c r="P43" s="2" t="s">
        <v>78</v>
      </c>
      <c r="Q43" s="3">
        <f t="shared" si="0"/>
        <v>53.25</v>
      </c>
    </row>
    <row r="44" spans="1:17" x14ac:dyDescent="0.2">
      <c r="A44" s="2" t="s">
        <v>15</v>
      </c>
      <c r="B44" s="2" t="s">
        <v>471</v>
      </c>
      <c r="C44" s="2">
        <v>8136665603</v>
      </c>
      <c r="D44" s="2">
        <v>122397</v>
      </c>
      <c r="E44" s="2" t="s">
        <v>17</v>
      </c>
      <c r="F44" s="2" t="s">
        <v>52</v>
      </c>
      <c r="G44" s="8">
        <v>45973</v>
      </c>
      <c r="H44" s="2" t="s">
        <v>82</v>
      </c>
      <c r="I44" s="2" t="s">
        <v>83</v>
      </c>
      <c r="J44" s="8">
        <v>45974</v>
      </c>
      <c r="K44" s="8">
        <v>45975</v>
      </c>
      <c r="L44" s="2">
        <v>108</v>
      </c>
      <c r="M44" s="2">
        <v>2534</v>
      </c>
      <c r="N44" s="7">
        <v>2200</v>
      </c>
      <c r="O44" s="2" t="s">
        <v>21</v>
      </c>
      <c r="P44" s="2" t="s">
        <v>78</v>
      </c>
      <c r="Q44" s="3">
        <f t="shared" si="0"/>
        <v>66</v>
      </c>
    </row>
    <row r="45" spans="1:17" x14ac:dyDescent="0.2">
      <c r="A45" s="2" t="s">
        <v>26</v>
      </c>
      <c r="B45" s="2" t="s">
        <v>467</v>
      </c>
      <c r="C45" s="2" t="s">
        <v>524</v>
      </c>
      <c r="D45" s="2">
        <v>34525433</v>
      </c>
      <c r="E45" s="2" t="s">
        <v>47</v>
      </c>
      <c r="F45" s="2" t="s">
        <v>84</v>
      </c>
      <c r="G45" s="8">
        <v>45974</v>
      </c>
      <c r="H45" s="2" t="s">
        <v>85</v>
      </c>
      <c r="I45" s="2" t="s">
        <v>86</v>
      </c>
      <c r="J45" s="8">
        <v>45974</v>
      </c>
      <c r="K45" s="8">
        <v>45978</v>
      </c>
      <c r="L45" s="2">
        <v>109</v>
      </c>
      <c r="M45" s="2">
        <v>2535</v>
      </c>
      <c r="N45" s="7">
        <v>2300</v>
      </c>
      <c r="O45" s="2" t="s">
        <v>21</v>
      </c>
      <c r="P45" s="2" t="s">
        <v>22</v>
      </c>
      <c r="Q45" s="3">
        <f t="shared" si="0"/>
        <v>69</v>
      </c>
    </row>
    <row r="46" spans="1:17" x14ac:dyDescent="0.2">
      <c r="A46" s="2" t="s">
        <v>466</v>
      </c>
      <c r="B46" s="2" t="s">
        <v>467</v>
      </c>
      <c r="C46" s="2" t="s">
        <v>525</v>
      </c>
      <c r="D46" s="2">
        <v>34368508</v>
      </c>
      <c r="E46" s="2" t="s">
        <v>47</v>
      </c>
      <c r="F46" s="2" t="s">
        <v>88</v>
      </c>
      <c r="G46" s="8">
        <v>45974</v>
      </c>
      <c r="H46" s="2" t="s">
        <v>89</v>
      </c>
      <c r="I46" s="2" t="s">
        <v>90</v>
      </c>
      <c r="J46" s="8">
        <v>45974</v>
      </c>
      <c r="K46" s="8">
        <v>45975</v>
      </c>
      <c r="L46" s="2">
        <v>110</v>
      </c>
      <c r="M46" s="2">
        <v>2536</v>
      </c>
      <c r="N46" s="7">
        <v>700</v>
      </c>
      <c r="O46" s="2" t="s">
        <v>21</v>
      </c>
      <c r="P46" s="2" t="s">
        <v>22</v>
      </c>
      <c r="Q46" s="3">
        <f t="shared" si="0"/>
        <v>21</v>
      </c>
    </row>
    <row r="47" spans="1:17" x14ac:dyDescent="0.2">
      <c r="A47" s="2" t="s">
        <v>15</v>
      </c>
      <c r="B47" s="2" t="s">
        <v>472</v>
      </c>
      <c r="C47" s="2" t="s">
        <v>526</v>
      </c>
      <c r="D47" s="2">
        <v>350930</v>
      </c>
      <c r="E47" s="2" t="s">
        <v>597</v>
      </c>
      <c r="F47" s="2" t="s">
        <v>18</v>
      </c>
      <c r="G47" s="8">
        <v>45975</v>
      </c>
      <c r="H47" s="2" t="s">
        <v>91</v>
      </c>
      <c r="I47" s="2" t="s">
        <v>92</v>
      </c>
      <c r="J47" s="8">
        <v>45975</v>
      </c>
      <c r="K47" s="8">
        <v>45978</v>
      </c>
      <c r="L47" s="2">
        <v>111</v>
      </c>
      <c r="M47" s="2">
        <v>2537</v>
      </c>
      <c r="N47" s="7">
        <v>1666</v>
      </c>
      <c r="O47" s="2" t="s">
        <v>21</v>
      </c>
      <c r="P47" s="2" t="s">
        <v>78</v>
      </c>
      <c r="Q47" s="3">
        <f t="shared" si="0"/>
        <v>49.98</v>
      </c>
    </row>
    <row r="48" spans="1:17" x14ac:dyDescent="0.2">
      <c r="A48" s="2" t="s">
        <v>466</v>
      </c>
      <c r="B48" s="2" t="s">
        <v>467</v>
      </c>
      <c r="C48" s="2" t="s">
        <v>527</v>
      </c>
      <c r="D48" s="2">
        <v>34491051</v>
      </c>
      <c r="E48" s="2" t="s">
        <v>47</v>
      </c>
      <c r="F48" s="2" t="s">
        <v>88</v>
      </c>
      <c r="G48" s="8">
        <v>45975</v>
      </c>
      <c r="H48" s="2" t="s">
        <v>93</v>
      </c>
      <c r="I48" s="2" t="s">
        <v>94</v>
      </c>
      <c r="J48" s="8">
        <v>45975</v>
      </c>
      <c r="K48" s="8">
        <v>45975</v>
      </c>
      <c r="L48" s="2">
        <v>112</v>
      </c>
      <c r="M48" s="2">
        <v>2538</v>
      </c>
      <c r="N48" s="7">
        <v>675</v>
      </c>
      <c r="O48" s="2" t="s">
        <v>21</v>
      </c>
      <c r="P48" s="2" t="s">
        <v>22</v>
      </c>
      <c r="Q48" s="3">
        <f t="shared" si="0"/>
        <v>20.25</v>
      </c>
    </row>
    <row r="49" spans="1:17" x14ac:dyDescent="0.2">
      <c r="A49" s="2" t="s">
        <v>15</v>
      </c>
      <c r="B49" s="2" t="s">
        <v>473</v>
      </c>
      <c r="C49" s="2" t="s">
        <v>597</v>
      </c>
      <c r="D49" s="2">
        <v>40114753</v>
      </c>
      <c r="E49" s="2" t="s">
        <v>17</v>
      </c>
      <c r="F49" s="2" t="s">
        <v>18</v>
      </c>
      <c r="G49" s="8">
        <v>45978</v>
      </c>
      <c r="H49" s="2" t="s">
        <v>95</v>
      </c>
      <c r="I49" s="2" t="s">
        <v>96</v>
      </c>
      <c r="J49" s="8">
        <v>45978</v>
      </c>
      <c r="K49" s="8">
        <v>45979</v>
      </c>
      <c r="L49" s="2">
        <v>113</v>
      </c>
      <c r="M49" s="2">
        <v>2539</v>
      </c>
      <c r="N49" s="7">
        <v>1850</v>
      </c>
      <c r="O49" s="2" t="s">
        <v>21</v>
      </c>
      <c r="P49" s="2" t="s">
        <v>22</v>
      </c>
      <c r="Q49" s="3">
        <f t="shared" si="0"/>
        <v>55.5</v>
      </c>
    </row>
    <row r="50" spans="1:17" x14ac:dyDescent="0.2">
      <c r="A50" s="2" t="s">
        <v>46</v>
      </c>
      <c r="B50" s="2" t="s">
        <v>474</v>
      </c>
      <c r="C50" s="2" t="s">
        <v>528</v>
      </c>
      <c r="D50" s="2">
        <v>10001</v>
      </c>
      <c r="E50" s="2" t="s">
        <v>47</v>
      </c>
      <c r="F50" s="2" t="s">
        <v>48</v>
      </c>
      <c r="G50" s="8">
        <v>45978</v>
      </c>
      <c r="H50" s="2" t="s">
        <v>97</v>
      </c>
      <c r="I50" s="2" t="s">
        <v>98</v>
      </c>
      <c r="J50" s="8">
        <v>45978</v>
      </c>
      <c r="K50" s="8">
        <v>45979</v>
      </c>
      <c r="L50" s="2">
        <v>114</v>
      </c>
      <c r="M50" s="2">
        <v>2540</v>
      </c>
      <c r="N50" s="7">
        <v>600</v>
      </c>
      <c r="O50" s="2" t="s">
        <v>21</v>
      </c>
      <c r="P50" s="2" t="s">
        <v>78</v>
      </c>
      <c r="Q50" s="3">
        <f t="shared" si="0"/>
        <v>18</v>
      </c>
    </row>
    <row r="51" spans="1:17" x14ac:dyDescent="0.2">
      <c r="A51" s="2" t="s">
        <v>46</v>
      </c>
      <c r="B51" s="2" t="s">
        <v>467</v>
      </c>
      <c r="C51" s="2" t="s">
        <v>529</v>
      </c>
      <c r="D51" s="2" t="s">
        <v>597</v>
      </c>
      <c r="E51" s="2" t="s">
        <v>47</v>
      </c>
      <c r="F51" s="2" t="s">
        <v>48</v>
      </c>
      <c r="G51" s="8">
        <v>45978</v>
      </c>
      <c r="H51" s="2" t="s">
        <v>99</v>
      </c>
      <c r="I51" s="2" t="s">
        <v>100</v>
      </c>
      <c r="J51" s="8">
        <v>45979</v>
      </c>
      <c r="K51" s="8">
        <v>45980</v>
      </c>
      <c r="L51" s="2">
        <v>115</v>
      </c>
      <c r="M51" s="2">
        <v>2541</v>
      </c>
      <c r="N51" s="7">
        <v>900</v>
      </c>
      <c r="O51" s="2" t="s">
        <v>21</v>
      </c>
      <c r="P51" s="2" t="s">
        <v>78</v>
      </c>
      <c r="Q51" s="3">
        <f t="shared" si="0"/>
        <v>27</v>
      </c>
    </row>
    <row r="52" spans="1:17" x14ac:dyDescent="0.2">
      <c r="A52" s="2" t="s">
        <v>15</v>
      </c>
      <c r="B52" s="2" t="s">
        <v>475</v>
      </c>
      <c r="C52" s="2" t="s">
        <v>530</v>
      </c>
      <c r="D52" s="2">
        <v>1279986</v>
      </c>
      <c r="E52" s="2" t="s">
        <v>33</v>
      </c>
      <c r="F52" s="2" t="s">
        <v>52</v>
      </c>
      <c r="G52" s="8">
        <v>45978</v>
      </c>
      <c r="H52" s="2" t="s">
        <v>101</v>
      </c>
      <c r="I52" s="2" t="s">
        <v>102</v>
      </c>
      <c r="J52" s="8">
        <v>45978</v>
      </c>
      <c r="K52" s="8">
        <v>45979</v>
      </c>
      <c r="L52" s="2">
        <v>116</v>
      </c>
      <c r="M52" s="2">
        <v>2542</v>
      </c>
      <c r="N52" s="7">
        <v>1800</v>
      </c>
      <c r="O52" s="2" t="s">
        <v>594</v>
      </c>
      <c r="P52" s="2" t="s">
        <v>78</v>
      </c>
      <c r="Q52" s="3">
        <f t="shared" si="0"/>
        <v>54</v>
      </c>
    </row>
    <row r="53" spans="1:17" x14ac:dyDescent="0.2">
      <c r="A53" s="2" t="s">
        <v>15</v>
      </c>
      <c r="B53" s="2" t="s">
        <v>476</v>
      </c>
      <c r="C53" s="2">
        <v>7163148011</v>
      </c>
      <c r="D53" s="2">
        <v>1483724</v>
      </c>
      <c r="E53" s="2" t="s">
        <v>17</v>
      </c>
      <c r="F53" s="2" t="s">
        <v>52</v>
      </c>
      <c r="G53" s="8">
        <v>45978</v>
      </c>
      <c r="H53" s="2" t="s">
        <v>103</v>
      </c>
      <c r="I53" s="2" t="s">
        <v>104</v>
      </c>
      <c r="J53" s="8">
        <v>45978</v>
      </c>
      <c r="K53" s="8">
        <v>45979</v>
      </c>
      <c r="L53" s="2">
        <v>117</v>
      </c>
      <c r="M53" s="2">
        <v>2543</v>
      </c>
      <c r="N53" s="7">
        <v>1800</v>
      </c>
      <c r="O53" s="2" t="s">
        <v>21</v>
      </c>
      <c r="P53" s="2" t="s">
        <v>78</v>
      </c>
      <c r="Q53" s="3">
        <f t="shared" si="0"/>
        <v>54</v>
      </c>
    </row>
    <row r="54" spans="1:17" x14ac:dyDescent="0.2">
      <c r="A54" s="2" t="s">
        <v>465</v>
      </c>
      <c r="B54" s="2" t="s">
        <v>105</v>
      </c>
      <c r="C54" s="2">
        <v>6514686868</v>
      </c>
      <c r="D54" s="2">
        <v>1925659</v>
      </c>
      <c r="E54" s="2" t="s">
        <v>17</v>
      </c>
      <c r="F54" s="2" t="s">
        <v>106</v>
      </c>
      <c r="G54" s="8">
        <v>45978</v>
      </c>
      <c r="H54" s="2" t="s">
        <v>107</v>
      </c>
      <c r="I54" s="2" t="s">
        <v>108</v>
      </c>
      <c r="J54" s="8">
        <v>45978</v>
      </c>
      <c r="K54" s="8">
        <v>45981</v>
      </c>
      <c r="L54" s="2">
        <v>118</v>
      </c>
      <c r="M54" s="2">
        <v>2544</v>
      </c>
      <c r="N54" s="7">
        <v>1975</v>
      </c>
      <c r="O54" s="2" t="s">
        <v>21</v>
      </c>
      <c r="P54" s="2" t="s">
        <v>78</v>
      </c>
      <c r="Q54" s="3">
        <f t="shared" si="0"/>
        <v>59.25</v>
      </c>
    </row>
    <row r="55" spans="1:17" x14ac:dyDescent="0.2">
      <c r="A55" s="2" t="s">
        <v>466</v>
      </c>
      <c r="B55" s="2" t="s">
        <v>467</v>
      </c>
      <c r="C55" s="2" t="s">
        <v>531</v>
      </c>
      <c r="D55" s="2" t="s">
        <v>597</v>
      </c>
      <c r="E55" s="2" t="s">
        <v>47</v>
      </c>
      <c r="F55" s="2" t="s">
        <v>88</v>
      </c>
      <c r="G55" s="8">
        <v>45978</v>
      </c>
      <c r="H55" s="2" t="s">
        <v>109</v>
      </c>
      <c r="I55" s="2" t="s">
        <v>110</v>
      </c>
      <c r="J55" s="8">
        <v>45978</v>
      </c>
      <c r="K55" s="8">
        <v>45979</v>
      </c>
      <c r="L55" s="2">
        <v>119</v>
      </c>
      <c r="M55" s="2">
        <v>2545</v>
      </c>
      <c r="N55" s="7">
        <v>150</v>
      </c>
      <c r="O55" s="2" t="s">
        <v>594</v>
      </c>
      <c r="P55" s="2" t="s">
        <v>78</v>
      </c>
      <c r="Q55" s="3">
        <f t="shared" si="0"/>
        <v>4.5</v>
      </c>
    </row>
    <row r="56" spans="1:17" x14ac:dyDescent="0.2">
      <c r="A56" s="2" t="s">
        <v>465</v>
      </c>
      <c r="B56" s="2" t="s">
        <v>477</v>
      </c>
      <c r="C56" s="2" t="s">
        <v>111</v>
      </c>
      <c r="D56" s="2">
        <v>586603</v>
      </c>
      <c r="E56" s="2" t="s">
        <v>17</v>
      </c>
      <c r="F56" s="2" t="s">
        <v>112</v>
      </c>
      <c r="G56" s="8">
        <v>45978</v>
      </c>
      <c r="H56" s="2" t="s">
        <v>113</v>
      </c>
      <c r="I56" s="2" t="s">
        <v>114</v>
      </c>
      <c r="J56" s="8">
        <v>45979</v>
      </c>
      <c r="K56" s="8">
        <v>45980</v>
      </c>
      <c r="L56" s="2">
        <v>120</v>
      </c>
      <c r="M56" s="2">
        <v>2546</v>
      </c>
      <c r="N56" s="7">
        <v>1250</v>
      </c>
      <c r="O56" s="2" t="s">
        <v>21</v>
      </c>
      <c r="P56" s="2" t="s">
        <v>78</v>
      </c>
      <c r="Q56" s="3">
        <f t="shared" si="0"/>
        <v>37.5</v>
      </c>
    </row>
    <row r="57" spans="1:17" x14ac:dyDescent="0.2">
      <c r="A57" s="2" t="s">
        <v>465</v>
      </c>
      <c r="B57" s="2" t="s">
        <v>467</v>
      </c>
      <c r="C57" s="2" t="s">
        <v>532</v>
      </c>
      <c r="D57" s="2">
        <v>34509635</v>
      </c>
      <c r="E57" s="2" t="s">
        <v>17</v>
      </c>
      <c r="F57" s="2" t="s">
        <v>18</v>
      </c>
      <c r="G57" s="8">
        <v>45978</v>
      </c>
      <c r="H57" s="2" t="s">
        <v>115</v>
      </c>
      <c r="I57" s="2" t="s">
        <v>116</v>
      </c>
      <c r="J57" s="8">
        <v>45979</v>
      </c>
      <c r="K57" s="8">
        <v>45980</v>
      </c>
      <c r="L57" s="2">
        <v>121</v>
      </c>
      <c r="M57" s="2">
        <v>2547</v>
      </c>
      <c r="N57" s="7">
        <v>1400</v>
      </c>
      <c r="O57" s="2" t="s">
        <v>21</v>
      </c>
      <c r="P57" s="2" t="s">
        <v>78</v>
      </c>
      <c r="Q57" s="3">
        <f t="shared" si="0"/>
        <v>42</v>
      </c>
    </row>
    <row r="58" spans="1:17" x14ac:dyDescent="0.2">
      <c r="A58" s="2" t="s">
        <v>466</v>
      </c>
      <c r="B58" s="2" t="s">
        <v>467</v>
      </c>
      <c r="C58" s="2" t="s">
        <v>533</v>
      </c>
      <c r="D58" s="2">
        <v>34574303</v>
      </c>
      <c r="E58" s="2" t="s">
        <v>47</v>
      </c>
      <c r="F58" s="2" t="s">
        <v>88</v>
      </c>
      <c r="G58" s="8">
        <v>45979</v>
      </c>
      <c r="H58" s="2" t="s">
        <v>117</v>
      </c>
      <c r="I58" s="2" t="s">
        <v>118</v>
      </c>
      <c r="J58" s="8">
        <v>45979</v>
      </c>
      <c r="K58" s="8">
        <v>45980</v>
      </c>
      <c r="L58" s="2">
        <v>122</v>
      </c>
      <c r="M58" s="2">
        <v>2548</v>
      </c>
      <c r="N58" s="7">
        <v>850</v>
      </c>
      <c r="O58" s="2" t="s">
        <v>21</v>
      </c>
      <c r="P58" s="2" t="s">
        <v>78</v>
      </c>
      <c r="Q58" s="3">
        <f t="shared" si="0"/>
        <v>25.5</v>
      </c>
    </row>
    <row r="59" spans="1:17" x14ac:dyDescent="0.2">
      <c r="A59" s="2" t="s">
        <v>26</v>
      </c>
      <c r="B59" s="2" t="s">
        <v>467</v>
      </c>
      <c r="C59" s="2" t="s">
        <v>534</v>
      </c>
      <c r="D59" s="2">
        <v>34583432</v>
      </c>
      <c r="E59" s="2" t="s">
        <v>33</v>
      </c>
      <c r="F59" s="2" t="s">
        <v>84</v>
      </c>
      <c r="G59" s="8">
        <v>45979</v>
      </c>
      <c r="H59" s="2" t="s">
        <v>115</v>
      </c>
      <c r="I59" s="2" t="s">
        <v>119</v>
      </c>
      <c r="J59" s="8">
        <v>45979</v>
      </c>
      <c r="K59" s="8">
        <v>45982</v>
      </c>
      <c r="L59" s="2">
        <v>123</v>
      </c>
      <c r="M59" s="2">
        <v>2549</v>
      </c>
      <c r="N59" s="7">
        <v>1600</v>
      </c>
      <c r="O59" s="2" t="s">
        <v>21</v>
      </c>
      <c r="P59" s="2" t="s">
        <v>22</v>
      </c>
      <c r="Q59" s="3">
        <f t="shared" si="0"/>
        <v>48</v>
      </c>
    </row>
    <row r="60" spans="1:17" x14ac:dyDescent="0.2">
      <c r="A60" s="2" t="s">
        <v>15</v>
      </c>
      <c r="B60" s="2" t="s">
        <v>478</v>
      </c>
      <c r="C60" s="2">
        <v>2487813723</v>
      </c>
      <c r="D60" s="2" t="s">
        <v>120</v>
      </c>
      <c r="E60" s="2" t="s">
        <v>17</v>
      </c>
      <c r="F60" s="2" t="s">
        <v>18</v>
      </c>
      <c r="G60" s="8">
        <v>45979</v>
      </c>
      <c r="H60" s="2" t="s">
        <v>121</v>
      </c>
      <c r="I60" s="2" t="s">
        <v>122</v>
      </c>
      <c r="J60" s="8">
        <v>45980</v>
      </c>
      <c r="K60" s="8">
        <v>45981</v>
      </c>
      <c r="L60" s="2">
        <v>124</v>
      </c>
      <c r="M60" s="2">
        <v>2550</v>
      </c>
      <c r="N60" s="7">
        <v>1800</v>
      </c>
      <c r="O60" s="2" t="s">
        <v>21</v>
      </c>
      <c r="P60" s="2" t="s">
        <v>78</v>
      </c>
      <c r="Q60" s="3">
        <f t="shared" si="0"/>
        <v>54</v>
      </c>
    </row>
    <row r="61" spans="1:17" x14ac:dyDescent="0.2">
      <c r="A61" s="2" t="s">
        <v>465</v>
      </c>
      <c r="B61" s="2" t="s">
        <v>193</v>
      </c>
      <c r="C61" s="2">
        <v>3463557971</v>
      </c>
      <c r="D61" s="2">
        <v>897353</v>
      </c>
      <c r="E61" s="2" t="s">
        <v>17</v>
      </c>
      <c r="F61" s="2" t="s">
        <v>123</v>
      </c>
      <c r="G61" s="8">
        <v>45979</v>
      </c>
      <c r="H61" s="2" t="s">
        <v>124</v>
      </c>
      <c r="I61" s="2" t="s">
        <v>125</v>
      </c>
      <c r="J61" s="8">
        <v>45980</v>
      </c>
      <c r="K61" s="8">
        <v>45981</v>
      </c>
      <c r="L61" s="2">
        <v>125</v>
      </c>
      <c r="M61" s="2">
        <v>2551</v>
      </c>
      <c r="N61" s="7">
        <v>1550</v>
      </c>
      <c r="O61" s="2" t="s">
        <v>21</v>
      </c>
      <c r="P61" s="2" t="s">
        <v>78</v>
      </c>
      <c r="Q61" s="3">
        <f t="shared" si="0"/>
        <v>46.5</v>
      </c>
    </row>
    <row r="62" spans="1:17" x14ac:dyDescent="0.2">
      <c r="A62" s="2" t="s">
        <v>465</v>
      </c>
      <c r="B62" s="2" t="s">
        <v>193</v>
      </c>
      <c r="C62" s="2">
        <v>3852139298</v>
      </c>
      <c r="D62" s="2">
        <v>897918</v>
      </c>
      <c r="E62" s="2" t="s">
        <v>17</v>
      </c>
      <c r="F62" s="2" t="s">
        <v>43</v>
      </c>
      <c r="G62" s="8">
        <v>45979</v>
      </c>
      <c r="H62" s="2" t="s">
        <v>126</v>
      </c>
      <c r="I62" s="2" t="s">
        <v>127</v>
      </c>
      <c r="J62" s="8">
        <v>45980</v>
      </c>
      <c r="K62" s="8">
        <v>45981</v>
      </c>
      <c r="L62" s="2">
        <v>126</v>
      </c>
      <c r="M62" s="2">
        <v>2552</v>
      </c>
      <c r="N62" s="7">
        <v>1650</v>
      </c>
      <c r="O62" s="2" t="s">
        <v>21</v>
      </c>
      <c r="P62" s="2" t="s">
        <v>78</v>
      </c>
      <c r="Q62" s="3">
        <f t="shared" si="0"/>
        <v>49.5</v>
      </c>
    </row>
    <row r="63" spans="1:17" x14ac:dyDescent="0.2">
      <c r="A63" s="2" t="s">
        <v>465</v>
      </c>
      <c r="B63" s="2" t="s">
        <v>479</v>
      </c>
      <c r="C63" s="2" t="s">
        <v>535</v>
      </c>
      <c r="D63" s="2">
        <v>127701</v>
      </c>
      <c r="E63" s="2" t="s">
        <v>17</v>
      </c>
      <c r="F63" s="2" t="s">
        <v>112</v>
      </c>
      <c r="G63" s="8">
        <v>45979</v>
      </c>
      <c r="H63" s="2" t="s">
        <v>128</v>
      </c>
      <c r="I63" s="2" t="s">
        <v>129</v>
      </c>
      <c r="J63" s="8">
        <v>45980</v>
      </c>
      <c r="K63" s="8">
        <v>45981</v>
      </c>
      <c r="L63" s="2">
        <v>127</v>
      </c>
      <c r="M63" s="2">
        <v>2553</v>
      </c>
      <c r="N63" s="7">
        <v>2000</v>
      </c>
      <c r="O63" s="2" t="s">
        <v>21</v>
      </c>
      <c r="P63" s="2" t="s">
        <v>78</v>
      </c>
      <c r="Q63" s="3">
        <f t="shared" si="0"/>
        <v>60</v>
      </c>
    </row>
    <row r="64" spans="1:17" x14ac:dyDescent="0.2">
      <c r="A64" s="2" t="s">
        <v>15</v>
      </c>
      <c r="B64" s="2" t="s">
        <v>480</v>
      </c>
      <c r="C64" s="2">
        <v>8008092172</v>
      </c>
      <c r="D64" s="2">
        <v>402997</v>
      </c>
      <c r="E64" s="2" t="s">
        <v>17</v>
      </c>
      <c r="F64" s="2" t="s">
        <v>52</v>
      </c>
      <c r="G64" s="8">
        <v>45979</v>
      </c>
      <c r="H64" s="2" t="s">
        <v>130</v>
      </c>
      <c r="I64" s="2" t="s">
        <v>119</v>
      </c>
      <c r="J64" s="8">
        <v>45979</v>
      </c>
      <c r="K64" s="8">
        <v>45980</v>
      </c>
      <c r="L64" s="2">
        <v>128</v>
      </c>
      <c r="M64" s="2">
        <v>2554</v>
      </c>
      <c r="N64" s="7">
        <v>1500</v>
      </c>
      <c r="O64" s="2" t="s">
        <v>21</v>
      </c>
      <c r="P64" s="2" t="s">
        <v>78</v>
      </c>
      <c r="Q64" s="3">
        <f t="shared" si="0"/>
        <v>45</v>
      </c>
    </row>
    <row r="65" spans="1:17" x14ac:dyDescent="0.2">
      <c r="A65" s="2" t="s">
        <v>15</v>
      </c>
      <c r="B65" s="2" t="s">
        <v>481</v>
      </c>
      <c r="C65" s="2">
        <v>3124457665</v>
      </c>
      <c r="D65" s="2">
        <v>162474</v>
      </c>
      <c r="E65" s="2" t="s">
        <v>17</v>
      </c>
      <c r="F65" s="2" t="s">
        <v>52</v>
      </c>
      <c r="G65" s="8">
        <v>45979</v>
      </c>
      <c r="H65" s="2" t="s">
        <v>131</v>
      </c>
      <c r="I65" s="2" t="s">
        <v>132</v>
      </c>
      <c r="J65" s="8">
        <v>45980</v>
      </c>
      <c r="K65" s="8">
        <v>45982</v>
      </c>
      <c r="L65" s="2">
        <v>350</v>
      </c>
      <c r="M65" s="2">
        <v>5564</v>
      </c>
      <c r="N65" s="7">
        <v>2500</v>
      </c>
      <c r="O65" s="2" t="s">
        <v>594</v>
      </c>
      <c r="P65" s="2" t="s">
        <v>78</v>
      </c>
      <c r="Q65" s="3">
        <f t="shared" si="0"/>
        <v>75</v>
      </c>
    </row>
    <row r="66" spans="1:17" x14ac:dyDescent="0.2">
      <c r="A66" s="2" t="s">
        <v>464</v>
      </c>
      <c r="B66" s="2" t="s">
        <v>133</v>
      </c>
      <c r="C66" s="2" t="s">
        <v>536</v>
      </c>
      <c r="D66" s="2">
        <v>1282613</v>
      </c>
      <c r="E66" s="2" t="s">
        <v>33</v>
      </c>
      <c r="F66" s="2" t="s">
        <v>34</v>
      </c>
      <c r="G66" s="8">
        <v>45979</v>
      </c>
      <c r="H66" s="2" t="s">
        <v>134</v>
      </c>
      <c r="I66" s="2" t="s">
        <v>131</v>
      </c>
      <c r="J66" s="8">
        <v>45979</v>
      </c>
      <c r="K66" s="8">
        <v>45982</v>
      </c>
      <c r="L66" s="2">
        <v>351</v>
      </c>
      <c r="M66" s="2">
        <v>5565</v>
      </c>
      <c r="N66" s="7">
        <v>3700</v>
      </c>
      <c r="O66" s="2" t="s">
        <v>21</v>
      </c>
      <c r="P66" s="2" t="s">
        <v>78</v>
      </c>
      <c r="Q66" s="3">
        <f t="shared" si="0"/>
        <v>111</v>
      </c>
    </row>
    <row r="67" spans="1:17" x14ac:dyDescent="0.2">
      <c r="A67" s="2" t="s">
        <v>15</v>
      </c>
      <c r="B67" s="2" t="s">
        <v>135</v>
      </c>
      <c r="C67" s="2">
        <v>9135216823</v>
      </c>
      <c r="D67" s="2">
        <v>5408620</v>
      </c>
      <c r="E67" s="2" t="s">
        <v>33</v>
      </c>
      <c r="F67" s="2" t="s">
        <v>52</v>
      </c>
      <c r="G67" s="8">
        <v>45980</v>
      </c>
      <c r="H67" s="2" t="s">
        <v>131</v>
      </c>
      <c r="I67" s="2" t="s">
        <v>136</v>
      </c>
      <c r="J67" s="8">
        <v>45980</v>
      </c>
      <c r="K67" s="8">
        <v>45982</v>
      </c>
      <c r="L67" s="2">
        <v>352</v>
      </c>
      <c r="M67" s="2">
        <v>5566</v>
      </c>
      <c r="N67" s="7">
        <v>2600</v>
      </c>
      <c r="O67" s="2" t="s">
        <v>21</v>
      </c>
      <c r="P67" s="2" t="s">
        <v>78</v>
      </c>
      <c r="Q67" s="3">
        <f t="shared" ref="Q67:Q130" si="1">N67*0.03</f>
        <v>78</v>
      </c>
    </row>
    <row r="68" spans="1:17" x14ac:dyDescent="0.2">
      <c r="A68" s="2" t="s">
        <v>15</v>
      </c>
      <c r="B68" s="2" t="s">
        <v>137</v>
      </c>
      <c r="C68" s="2">
        <v>8034310573</v>
      </c>
      <c r="D68" s="2" t="s">
        <v>138</v>
      </c>
      <c r="E68" s="2" t="s">
        <v>17</v>
      </c>
      <c r="F68" s="2" t="s">
        <v>18</v>
      </c>
      <c r="G68" s="8">
        <v>45980</v>
      </c>
      <c r="H68" s="2" t="s">
        <v>139</v>
      </c>
      <c r="I68" s="2" t="s">
        <v>140</v>
      </c>
      <c r="J68" s="8">
        <v>45981</v>
      </c>
      <c r="K68" s="8">
        <v>45982</v>
      </c>
      <c r="L68" s="2">
        <v>353</v>
      </c>
      <c r="M68" s="2">
        <v>5567</v>
      </c>
      <c r="N68" s="7">
        <v>1650</v>
      </c>
      <c r="O68" s="2" t="s">
        <v>21</v>
      </c>
      <c r="P68" s="2" t="s">
        <v>78</v>
      </c>
      <c r="Q68" s="3">
        <f t="shared" si="1"/>
        <v>49.5</v>
      </c>
    </row>
    <row r="69" spans="1:17" x14ac:dyDescent="0.2">
      <c r="A69" s="2" t="s">
        <v>26</v>
      </c>
      <c r="B69" s="2" t="s">
        <v>135</v>
      </c>
      <c r="C69" s="2">
        <v>9137289082</v>
      </c>
      <c r="D69" s="2">
        <v>5549777</v>
      </c>
      <c r="E69" s="2" t="s">
        <v>33</v>
      </c>
      <c r="F69" s="2" t="s">
        <v>27</v>
      </c>
      <c r="G69" s="8">
        <v>45981</v>
      </c>
      <c r="H69" s="2" t="s">
        <v>141</v>
      </c>
      <c r="I69" s="2" t="s">
        <v>142</v>
      </c>
      <c r="J69" s="8">
        <v>45982</v>
      </c>
      <c r="K69" s="8">
        <v>45985</v>
      </c>
      <c r="L69" s="2">
        <v>354</v>
      </c>
      <c r="M69" s="2">
        <v>5568</v>
      </c>
      <c r="N69" s="7">
        <v>2600</v>
      </c>
      <c r="O69" s="2" t="s">
        <v>21</v>
      </c>
      <c r="P69" s="2" t="s">
        <v>22</v>
      </c>
      <c r="Q69" s="3">
        <f t="shared" si="1"/>
        <v>78</v>
      </c>
    </row>
    <row r="70" spans="1:17" x14ac:dyDescent="0.2">
      <c r="A70" s="2" t="s">
        <v>465</v>
      </c>
      <c r="B70" s="2" t="s">
        <v>467</v>
      </c>
      <c r="C70" s="2" t="s">
        <v>537</v>
      </c>
      <c r="D70" s="2">
        <v>34559604</v>
      </c>
      <c r="E70" s="2" t="s">
        <v>17</v>
      </c>
      <c r="F70" s="2" t="s">
        <v>112</v>
      </c>
      <c r="G70" s="8">
        <v>45981</v>
      </c>
      <c r="H70" s="2" t="s">
        <v>143</v>
      </c>
      <c r="I70" s="2" t="s">
        <v>144</v>
      </c>
      <c r="J70" s="8">
        <v>45981</v>
      </c>
      <c r="K70" s="8">
        <v>45982</v>
      </c>
      <c r="L70" s="2">
        <v>355</v>
      </c>
      <c r="M70" s="2">
        <v>5569</v>
      </c>
      <c r="N70" s="7">
        <v>1200</v>
      </c>
      <c r="O70" s="2" t="s">
        <v>21</v>
      </c>
      <c r="P70" s="2" t="s">
        <v>78</v>
      </c>
      <c r="Q70" s="3">
        <f t="shared" si="1"/>
        <v>36</v>
      </c>
    </row>
    <row r="71" spans="1:17" x14ac:dyDescent="0.2">
      <c r="A71" s="2" t="s">
        <v>465</v>
      </c>
      <c r="B71" s="2" t="s">
        <v>467</v>
      </c>
      <c r="C71" s="2" t="s">
        <v>537</v>
      </c>
      <c r="D71" s="2">
        <v>34561440</v>
      </c>
      <c r="E71" s="2" t="s">
        <v>17</v>
      </c>
      <c r="F71" s="2" t="s">
        <v>112</v>
      </c>
      <c r="G71" s="8">
        <v>45981</v>
      </c>
      <c r="H71" s="2" t="s">
        <v>144</v>
      </c>
      <c r="I71" s="2" t="s">
        <v>143</v>
      </c>
      <c r="J71" s="8">
        <v>45982</v>
      </c>
      <c r="K71" s="8">
        <v>45983</v>
      </c>
      <c r="L71" s="2">
        <v>356</v>
      </c>
      <c r="M71" s="2">
        <v>5570</v>
      </c>
      <c r="N71" s="7">
        <v>900</v>
      </c>
      <c r="O71" s="2" t="s">
        <v>21</v>
      </c>
      <c r="P71" s="2" t="s">
        <v>78</v>
      </c>
      <c r="Q71" s="3">
        <f t="shared" si="1"/>
        <v>27</v>
      </c>
    </row>
    <row r="72" spans="1:17" x14ac:dyDescent="0.2">
      <c r="A72" s="2" t="s">
        <v>465</v>
      </c>
      <c r="B72" s="2" t="s">
        <v>467</v>
      </c>
      <c r="C72" s="2" t="s">
        <v>538</v>
      </c>
      <c r="D72" s="2">
        <v>34599636</v>
      </c>
      <c r="E72" s="2" t="s">
        <v>17</v>
      </c>
      <c r="F72" s="2" t="s">
        <v>123</v>
      </c>
      <c r="G72" s="8">
        <v>45981</v>
      </c>
      <c r="H72" s="2" t="s">
        <v>145</v>
      </c>
      <c r="I72" s="2" t="s">
        <v>146</v>
      </c>
      <c r="J72" s="8">
        <v>45982</v>
      </c>
      <c r="K72" s="8">
        <v>45985</v>
      </c>
      <c r="L72" s="2">
        <v>357</v>
      </c>
      <c r="M72" s="2">
        <v>5571</v>
      </c>
      <c r="N72" s="7">
        <v>1726</v>
      </c>
      <c r="O72" s="2" t="s">
        <v>21</v>
      </c>
      <c r="P72" s="2" t="s">
        <v>78</v>
      </c>
      <c r="Q72" s="3">
        <f t="shared" si="1"/>
        <v>51.78</v>
      </c>
    </row>
    <row r="73" spans="1:17" x14ac:dyDescent="0.2">
      <c r="A73" s="2" t="s">
        <v>465</v>
      </c>
      <c r="B73" s="2" t="s">
        <v>482</v>
      </c>
      <c r="C73" s="2">
        <v>2132671373</v>
      </c>
      <c r="D73" s="2" t="s">
        <v>147</v>
      </c>
      <c r="E73" s="2" t="s">
        <v>17</v>
      </c>
      <c r="F73" s="2" t="s">
        <v>60</v>
      </c>
      <c r="G73" s="8">
        <v>45981</v>
      </c>
      <c r="H73" s="2" t="s">
        <v>148</v>
      </c>
      <c r="I73" s="2" t="s">
        <v>149</v>
      </c>
      <c r="J73" s="8">
        <v>45982</v>
      </c>
      <c r="K73" s="8">
        <v>45985</v>
      </c>
      <c r="L73" s="2">
        <v>358</v>
      </c>
      <c r="M73" s="2">
        <v>5572</v>
      </c>
      <c r="N73" s="7">
        <v>1800</v>
      </c>
      <c r="O73" s="2" t="s">
        <v>21</v>
      </c>
      <c r="P73" s="2" t="s">
        <v>78</v>
      </c>
      <c r="Q73" s="3">
        <f t="shared" si="1"/>
        <v>54</v>
      </c>
    </row>
    <row r="74" spans="1:17" x14ac:dyDescent="0.2">
      <c r="A74" s="2" t="s">
        <v>464</v>
      </c>
      <c r="B74" s="2" t="s">
        <v>483</v>
      </c>
      <c r="C74" s="2" t="s">
        <v>539</v>
      </c>
      <c r="D74" s="2">
        <v>178867</v>
      </c>
      <c r="E74" s="2" t="s">
        <v>33</v>
      </c>
      <c r="F74" s="2" t="s">
        <v>34</v>
      </c>
      <c r="G74" s="8">
        <v>45981</v>
      </c>
      <c r="H74" s="2" t="s">
        <v>150</v>
      </c>
      <c r="I74" s="2" t="s">
        <v>151</v>
      </c>
      <c r="J74" s="8">
        <v>45982</v>
      </c>
      <c r="K74" s="8">
        <v>45985</v>
      </c>
      <c r="L74" s="2">
        <v>359</v>
      </c>
      <c r="M74" s="2">
        <v>5573</v>
      </c>
      <c r="N74" s="7">
        <v>3750</v>
      </c>
      <c r="O74" s="2" t="s">
        <v>21</v>
      </c>
      <c r="P74" s="2" t="s">
        <v>78</v>
      </c>
      <c r="Q74" s="3">
        <f t="shared" si="1"/>
        <v>112.5</v>
      </c>
    </row>
    <row r="75" spans="1:17" x14ac:dyDescent="0.2">
      <c r="A75" s="2" t="s">
        <v>26</v>
      </c>
      <c r="B75" s="2" t="s">
        <v>467</v>
      </c>
      <c r="C75" s="2" t="s">
        <v>540</v>
      </c>
      <c r="D75" s="2">
        <v>34619179</v>
      </c>
      <c r="E75" s="2" t="s">
        <v>33</v>
      </c>
      <c r="F75" s="2" t="s">
        <v>84</v>
      </c>
      <c r="G75" s="8">
        <v>45981</v>
      </c>
      <c r="H75" s="2" t="s">
        <v>152</v>
      </c>
      <c r="I75" s="2" t="s">
        <v>153</v>
      </c>
      <c r="J75" s="8">
        <v>45982</v>
      </c>
      <c r="K75" s="8">
        <v>45985</v>
      </c>
      <c r="L75" s="2">
        <v>360</v>
      </c>
      <c r="M75" s="2">
        <v>5574</v>
      </c>
      <c r="N75" s="7">
        <v>2100</v>
      </c>
      <c r="O75" s="2" t="s">
        <v>594</v>
      </c>
      <c r="P75" s="2" t="s">
        <v>78</v>
      </c>
      <c r="Q75" s="3">
        <f t="shared" si="1"/>
        <v>63</v>
      </c>
    </row>
    <row r="76" spans="1:17" x14ac:dyDescent="0.2">
      <c r="A76" s="2" t="s">
        <v>26</v>
      </c>
      <c r="B76" s="2" t="s">
        <v>154</v>
      </c>
      <c r="C76" s="2" t="s">
        <v>541</v>
      </c>
      <c r="D76" s="2">
        <v>167058</v>
      </c>
      <c r="E76" s="2" t="s">
        <v>33</v>
      </c>
      <c r="F76" s="2" t="s">
        <v>27</v>
      </c>
      <c r="G76" s="8">
        <v>45981</v>
      </c>
      <c r="H76" s="2" t="s">
        <v>155</v>
      </c>
      <c r="I76" s="2" t="s">
        <v>156</v>
      </c>
      <c r="J76" s="8">
        <v>45982</v>
      </c>
      <c r="K76" s="8">
        <v>45985</v>
      </c>
      <c r="L76" s="2">
        <v>361</v>
      </c>
      <c r="M76" s="2">
        <v>5575</v>
      </c>
      <c r="N76" s="7">
        <v>1400</v>
      </c>
      <c r="O76" s="2" t="s">
        <v>21</v>
      </c>
      <c r="P76" s="2" t="s">
        <v>22</v>
      </c>
      <c r="Q76" s="3">
        <f t="shared" si="1"/>
        <v>42</v>
      </c>
    </row>
    <row r="77" spans="1:17" x14ac:dyDescent="0.2">
      <c r="A77" s="2" t="s">
        <v>465</v>
      </c>
      <c r="B77" s="2" t="s">
        <v>467</v>
      </c>
      <c r="C77" s="2" t="s">
        <v>542</v>
      </c>
      <c r="D77" s="2">
        <v>34613901</v>
      </c>
      <c r="E77" s="2" t="s">
        <v>17</v>
      </c>
      <c r="F77" s="2" t="s">
        <v>112</v>
      </c>
      <c r="G77" s="8">
        <v>45981</v>
      </c>
      <c r="H77" s="2" t="s">
        <v>157</v>
      </c>
      <c r="I77" s="2" t="s">
        <v>158</v>
      </c>
      <c r="J77" s="8">
        <v>45983</v>
      </c>
      <c r="K77" s="8">
        <v>45985</v>
      </c>
      <c r="L77" s="2">
        <v>362</v>
      </c>
      <c r="M77" s="2">
        <v>5576</v>
      </c>
      <c r="N77" s="7">
        <v>1700</v>
      </c>
      <c r="O77" s="2" t="s">
        <v>21</v>
      </c>
      <c r="P77" s="2" t="s">
        <v>78</v>
      </c>
      <c r="Q77" s="3">
        <f t="shared" si="1"/>
        <v>51</v>
      </c>
    </row>
    <row r="78" spans="1:17" x14ac:dyDescent="0.2">
      <c r="A78" s="2" t="s">
        <v>465</v>
      </c>
      <c r="B78" s="2" t="s">
        <v>484</v>
      </c>
      <c r="C78" s="2">
        <v>6469484480</v>
      </c>
      <c r="D78" s="2">
        <v>1739468</v>
      </c>
      <c r="E78" s="2" t="s">
        <v>17</v>
      </c>
      <c r="F78" s="2" t="s">
        <v>112</v>
      </c>
      <c r="G78" s="8">
        <v>45982</v>
      </c>
      <c r="H78" s="2" t="s">
        <v>159</v>
      </c>
      <c r="I78" s="2" t="s">
        <v>160</v>
      </c>
      <c r="J78" s="8">
        <v>45985</v>
      </c>
      <c r="K78" s="8">
        <v>45986</v>
      </c>
      <c r="L78" s="2">
        <v>363</v>
      </c>
      <c r="M78" s="2">
        <v>5577</v>
      </c>
      <c r="N78" s="7">
        <v>950</v>
      </c>
      <c r="O78" s="2" t="s">
        <v>21</v>
      </c>
      <c r="P78" s="2" t="s">
        <v>78</v>
      </c>
      <c r="Q78" s="3">
        <f t="shared" si="1"/>
        <v>28.5</v>
      </c>
    </row>
    <row r="79" spans="1:17" x14ac:dyDescent="0.2">
      <c r="A79" s="2" t="s">
        <v>465</v>
      </c>
      <c r="B79" s="2" t="s">
        <v>485</v>
      </c>
      <c r="C79" s="2">
        <v>4102298306</v>
      </c>
      <c r="D79" s="2">
        <v>2456164</v>
      </c>
      <c r="E79" s="2" t="s">
        <v>17</v>
      </c>
      <c r="F79" s="2" t="s">
        <v>43</v>
      </c>
      <c r="G79" s="8">
        <v>45982</v>
      </c>
      <c r="H79" s="2" t="s">
        <v>161</v>
      </c>
      <c r="I79" s="2" t="s">
        <v>162</v>
      </c>
      <c r="J79" s="8">
        <v>45984</v>
      </c>
      <c r="K79" s="8">
        <v>45986</v>
      </c>
      <c r="L79" s="2">
        <v>364</v>
      </c>
      <c r="M79" s="2">
        <v>5578</v>
      </c>
      <c r="N79" s="7">
        <v>2200</v>
      </c>
      <c r="O79" s="2" t="s">
        <v>21</v>
      </c>
      <c r="P79" s="2" t="s">
        <v>78</v>
      </c>
      <c r="Q79" s="3">
        <f t="shared" si="1"/>
        <v>66</v>
      </c>
    </row>
    <row r="80" spans="1:17" x14ac:dyDescent="0.2">
      <c r="A80" s="2" t="s">
        <v>15</v>
      </c>
      <c r="B80" s="2" t="s">
        <v>163</v>
      </c>
      <c r="C80" s="2">
        <v>8282212262</v>
      </c>
      <c r="D80" s="2">
        <v>21783</v>
      </c>
      <c r="E80" s="2" t="s">
        <v>17</v>
      </c>
      <c r="F80" s="2" t="s">
        <v>52</v>
      </c>
      <c r="G80" s="8">
        <v>45982</v>
      </c>
      <c r="H80" s="2" t="s">
        <v>164</v>
      </c>
      <c r="I80" s="2" t="s">
        <v>165</v>
      </c>
      <c r="J80" s="8">
        <v>45982</v>
      </c>
      <c r="K80" s="8">
        <v>45984</v>
      </c>
      <c r="L80" s="2">
        <v>365</v>
      </c>
      <c r="M80" s="2">
        <v>5579</v>
      </c>
      <c r="N80" s="7">
        <v>1100</v>
      </c>
      <c r="O80" s="2" t="s">
        <v>21</v>
      </c>
      <c r="P80" s="2" t="s">
        <v>78</v>
      </c>
      <c r="Q80" s="3">
        <f t="shared" si="1"/>
        <v>33</v>
      </c>
    </row>
    <row r="81" spans="1:17" x14ac:dyDescent="0.2">
      <c r="A81" s="2" t="s">
        <v>465</v>
      </c>
      <c r="B81" s="2" t="s">
        <v>486</v>
      </c>
      <c r="C81" s="2">
        <v>6014396994</v>
      </c>
      <c r="D81" s="2">
        <v>2173185</v>
      </c>
      <c r="E81" s="2" t="s">
        <v>17</v>
      </c>
      <c r="F81" s="2" t="s">
        <v>79</v>
      </c>
      <c r="G81" s="8">
        <v>45982</v>
      </c>
      <c r="H81" s="2" t="s">
        <v>166</v>
      </c>
      <c r="I81" s="2" t="s">
        <v>167</v>
      </c>
      <c r="J81" s="8">
        <v>45982</v>
      </c>
      <c r="K81" s="8">
        <v>45985</v>
      </c>
      <c r="L81" s="2">
        <v>366</v>
      </c>
      <c r="M81" s="2">
        <v>5580</v>
      </c>
      <c r="N81" s="7">
        <v>2000</v>
      </c>
      <c r="O81" s="2" t="s">
        <v>21</v>
      </c>
      <c r="P81" s="2" t="s">
        <v>78</v>
      </c>
      <c r="Q81" s="3">
        <f t="shared" si="1"/>
        <v>60</v>
      </c>
    </row>
    <row r="82" spans="1:17" x14ac:dyDescent="0.2">
      <c r="A82" s="2" t="s">
        <v>26</v>
      </c>
      <c r="B82" s="2" t="s">
        <v>135</v>
      </c>
      <c r="C82" s="2" t="s">
        <v>543</v>
      </c>
      <c r="D82" s="2">
        <v>5557728</v>
      </c>
      <c r="E82" s="2" t="s">
        <v>33</v>
      </c>
      <c r="F82" s="2" t="s">
        <v>168</v>
      </c>
      <c r="G82" s="8">
        <v>45985</v>
      </c>
      <c r="H82" s="2" t="s">
        <v>169</v>
      </c>
      <c r="I82" s="2" t="s">
        <v>170</v>
      </c>
      <c r="J82" s="8">
        <v>45985</v>
      </c>
      <c r="K82" s="8">
        <v>45986</v>
      </c>
      <c r="L82" s="2">
        <v>367</v>
      </c>
      <c r="M82" s="2">
        <v>5581</v>
      </c>
      <c r="N82" s="7">
        <v>650</v>
      </c>
      <c r="O82" s="2" t="s">
        <v>21</v>
      </c>
      <c r="P82" s="2" t="s">
        <v>22</v>
      </c>
      <c r="Q82" s="3">
        <f t="shared" si="1"/>
        <v>19.5</v>
      </c>
    </row>
    <row r="83" spans="1:17" x14ac:dyDescent="0.2">
      <c r="A83" s="2" t="s">
        <v>15</v>
      </c>
      <c r="B83" s="2" t="s">
        <v>171</v>
      </c>
      <c r="C83" s="2">
        <v>6624367499</v>
      </c>
      <c r="D83" s="2">
        <v>960320039</v>
      </c>
      <c r="E83" s="2" t="s">
        <v>33</v>
      </c>
      <c r="F83" s="2" t="s">
        <v>52</v>
      </c>
      <c r="G83" s="8">
        <v>45985</v>
      </c>
      <c r="H83" s="2" t="s">
        <v>172</v>
      </c>
      <c r="I83" s="2" t="s">
        <v>173</v>
      </c>
      <c r="J83" s="8">
        <v>45986</v>
      </c>
      <c r="K83" s="8">
        <v>45987</v>
      </c>
      <c r="L83" s="2">
        <v>368</v>
      </c>
      <c r="M83" s="2">
        <v>5582</v>
      </c>
      <c r="N83" s="7">
        <v>2500</v>
      </c>
      <c r="O83" s="2" t="s">
        <v>21</v>
      </c>
      <c r="P83" s="2" t="s">
        <v>78</v>
      </c>
      <c r="Q83" s="3">
        <f t="shared" si="1"/>
        <v>75</v>
      </c>
    </row>
    <row r="84" spans="1:17" x14ac:dyDescent="0.2">
      <c r="A84" s="2" t="s">
        <v>15</v>
      </c>
      <c r="B84" s="2" t="s">
        <v>174</v>
      </c>
      <c r="C84" s="2">
        <v>3176826061</v>
      </c>
      <c r="D84" s="2">
        <v>1259895</v>
      </c>
      <c r="E84" s="2" t="s">
        <v>33</v>
      </c>
      <c r="F84" s="2" t="s">
        <v>52</v>
      </c>
      <c r="G84" s="8">
        <v>45985</v>
      </c>
      <c r="H84" s="2" t="s">
        <v>175</v>
      </c>
      <c r="I84" s="2" t="s">
        <v>176</v>
      </c>
      <c r="J84" s="8">
        <v>45987</v>
      </c>
      <c r="K84" s="8">
        <v>45989</v>
      </c>
      <c r="L84" s="2">
        <v>369</v>
      </c>
      <c r="M84" s="2">
        <v>5583</v>
      </c>
      <c r="N84" s="7">
        <v>1100</v>
      </c>
      <c r="O84" s="2" t="s">
        <v>21</v>
      </c>
      <c r="P84" s="2" t="s">
        <v>78</v>
      </c>
      <c r="Q84" s="3">
        <f t="shared" si="1"/>
        <v>33</v>
      </c>
    </row>
    <row r="85" spans="1:17" x14ac:dyDescent="0.2">
      <c r="A85" s="2" t="s">
        <v>465</v>
      </c>
      <c r="B85" s="2" t="s">
        <v>487</v>
      </c>
      <c r="C85" s="2">
        <v>8185181300</v>
      </c>
      <c r="D85" s="2">
        <v>19402</v>
      </c>
      <c r="E85" s="2" t="s">
        <v>17</v>
      </c>
      <c r="F85" s="2" t="s">
        <v>177</v>
      </c>
      <c r="G85" s="8">
        <v>45985</v>
      </c>
      <c r="H85" s="2" t="s">
        <v>178</v>
      </c>
      <c r="I85" s="2" t="s">
        <v>77</v>
      </c>
      <c r="J85" s="8">
        <v>45985</v>
      </c>
      <c r="K85" s="8">
        <v>45986</v>
      </c>
      <c r="L85" s="2">
        <v>370</v>
      </c>
      <c r="M85" s="2">
        <v>5584</v>
      </c>
      <c r="N85" s="7">
        <v>1300</v>
      </c>
      <c r="O85" s="2" t="s">
        <v>21</v>
      </c>
      <c r="P85" s="2" t="s">
        <v>78</v>
      </c>
      <c r="Q85" s="3">
        <f t="shared" si="1"/>
        <v>39</v>
      </c>
    </row>
    <row r="86" spans="1:17" x14ac:dyDescent="0.2">
      <c r="A86" s="2" t="s">
        <v>465</v>
      </c>
      <c r="B86" s="2" t="s">
        <v>488</v>
      </c>
      <c r="C86" s="2">
        <v>5867237915</v>
      </c>
      <c r="D86" s="2">
        <v>31820717</v>
      </c>
      <c r="E86" s="2" t="s">
        <v>17</v>
      </c>
      <c r="F86" s="2" t="s">
        <v>79</v>
      </c>
      <c r="G86" s="8">
        <v>45985</v>
      </c>
      <c r="H86" s="2" t="s">
        <v>179</v>
      </c>
      <c r="I86" s="2" t="s">
        <v>180</v>
      </c>
      <c r="J86" s="8">
        <v>45986</v>
      </c>
      <c r="K86" s="8">
        <v>45987</v>
      </c>
      <c r="L86" s="2">
        <v>371</v>
      </c>
      <c r="M86" s="2">
        <v>5585</v>
      </c>
      <c r="N86" s="7">
        <v>1750</v>
      </c>
      <c r="O86" s="2" t="s">
        <v>21</v>
      </c>
      <c r="P86" s="2" t="s">
        <v>78</v>
      </c>
      <c r="Q86" s="3">
        <f t="shared" si="1"/>
        <v>52.5</v>
      </c>
    </row>
    <row r="87" spans="1:17" x14ac:dyDescent="0.2">
      <c r="A87" s="2" t="s">
        <v>465</v>
      </c>
      <c r="B87" s="2" t="s">
        <v>467</v>
      </c>
      <c r="C87" s="2" t="s">
        <v>544</v>
      </c>
      <c r="D87" s="2">
        <v>34623781</v>
      </c>
      <c r="E87" s="2" t="s">
        <v>17</v>
      </c>
      <c r="F87" s="2" t="s">
        <v>60</v>
      </c>
      <c r="G87" s="8">
        <v>45985</v>
      </c>
      <c r="H87" s="2" t="s">
        <v>181</v>
      </c>
      <c r="I87" s="2" t="s">
        <v>182</v>
      </c>
      <c r="J87" s="8">
        <v>45986</v>
      </c>
      <c r="K87" s="8">
        <v>45987</v>
      </c>
      <c r="L87" s="2">
        <v>372</v>
      </c>
      <c r="M87" s="2">
        <v>7689</v>
      </c>
      <c r="N87" s="7">
        <v>1400</v>
      </c>
      <c r="O87" s="2" t="s">
        <v>21</v>
      </c>
      <c r="P87" s="2" t="s">
        <v>78</v>
      </c>
      <c r="Q87" s="3">
        <f t="shared" si="1"/>
        <v>42</v>
      </c>
    </row>
    <row r="88" spans="1:17" x14ac:dyDescent="0.2">
      <c r="A88" s="2" t="s">
        <v>15</v>
      </c>
      <c r="B88" s="2" t="s">
        <v>489</v>
      </c>
      <c r="C88" s="2">
        <v>8475090623</v>
      </c>
      <c r="D88" s="2">
        <v>947476</v>
      </c>
      <c r="E88" s="2" t="s">
        <v>17</v>
      </c>
      <c r="F88" s="2" t="s">
        <v>18</v>
      </c>
      <c r="G88" s="8">
        <v>45985</v>
      </c>
      <c r="H88" s="2" t="s">
        <v>183</v>
      </c>
      <c r="I88" s="2" t="s">
        <v>184</v>
      </c>
      <c r="J88" s="8">
        <v>45985</v>
      </c>
      <c r="K88" s="8">
        <v>45986</v>
      </c>
      <c r="L88" s="2">
        <v>550</v>
      </c>
      <c r="M88" s="2">
        <v>7690</v>
      </c>
      <c r="N88" s="7">
        <v>850</v>
      </c>
      <c r="O88" s="2" t="s">
        <v>21</v>
      </c>
      <c r="P88" s="2" t="s">
        <v>78</v>
      </c>
      <c r="Q88" s="3">
        <f t="shared" si="1"/>
        <v>25.5</v>
      </c>
    </row>
    <row r="89" spans="1:17" x14ac:dyDescent="0.2">
      <c r="A89" s="2" t="s">
        <v>15</v>
      </c>
      <c r="B89" s="2" t="s">
        <v>490</v>
      </c>
      <c r="C89" s="2">
        <v>8775591760</v>
      </c>
      <c r="D89" s="2">
        <v>98516</v>
      </c>
      <c r="E89" s="2" t="s">
        <v>17</v>
      </c>
      <c r="F89" s="2" t="s">
        <v>18</v>
      </c>
      <c r="G89" s="8">
        <v>45985</v>
      </c>
      <c r="H89" s="2" t="s">
        <v>185</v>
      </c>
      <c r="I89" s="2" t="s">
        <v>186</v>
      </c>
      <c r="J89" s="8">
        <v>45986</v>
      </c>
      <c r="K89" s="8">
        <v>45987</v>
      </c>
      <c r="L89" s="2">
        <v>551</v>
      </c>
      <c r="M89" s="2">
        <v>7691</v>
      </c>
      <c r="N89" s="7">
        <v>1450</v>
      </c>
      <c r="O89" s="2" t="s">
        <v>21</v>
      </c>
      <c r="P89" s="2" t="s">
        <v>78</v>
      </c>
      <c r="Q89" s="3">
        <f t="shared" si="1"/>
        <v>43.5</v>
      </c>
    </row>
    <row r="90" spans="1:17" x14ac:dyDescent="0.2">
      <c r="A90" s="2" t="s">
        <v>466</v>
      </c>
      <c r="B90" s="2" t="s">
        <v>467</v>
      </c>
      <c r="C90" s="2" t="s">
        <v>545</v>
      </c>
      <c r="D90" s="2">
        <v>34654785</v>
      </c>
      <c r="E90" s="2" t="s">
        <v>47</v>
      </c>
      <c r="F90" s="2" t="s">
        <v>88</v>
      </c>
      <c r="G90" s="8">
        <v>45985</v>
      </c>
      <c r="H90" s="2" t="s">
        <v>187</v>
      </c>
      <c r="I90" s="2" t="s">
        <v>188</v>
      </c>
      <c r="J90" s="8">
        <v>45985</v>
      </c>
      <c r="K90" s="8">
        <v>45986</v>
      </c>
      <c r="L90" s="2">
        <v>552</v>
      </c>
      <c r="M90" s="2">
        <v>7692</v>
      </c>
      <c r="N90" s="7">
        <v>475</v>
      </c>
      <c r="O90" s="2" t="s">
        <v>21</v>
      </c>
      <c r="P90" s="2" t="s">
        <v>78</v>
      </c>
      <c r="Q90" s="3">
        <f t="shared" si="1"/>
        <v>14.25</v>
      </c>
    </row>
    <row r="91" spans="1:17" x14ac:dyDescent="0.2">
      <c r="A91" s="2" t="s">
        <v>466</v>
      </c>
      <c r="B91" s="2" t="s">
        <v>467</v>
      </c>
      <c r="C91" s="2" t="s">
        <v>546</v>
      </c>
      <c r="D91" s="2">
        <v>34660574</v>
      </c>
      <c r="E91" s="2" t="s">
        <v>47</v>
      </c>
      <c r="F91" s="2" t="s">
        <v>88</v>
      </c>
      <c r="G91" s="8">
        <v>45985</v>
      </c>
      <c r="H91" s="2" t="s">
        <v>189</v>
      </c>
      <c r="I91" s="2" t="s">
        <v>190</v>
      </c>
      <c r="J91" s="8">
        <v>45986</v>
      </c>
      <c r="K91" s="8">
        <v>45987</v>
      </c>
      <c r="L91" s="2">
        <v>553</v>
      </c>
      <c r="M91" s="2">
        <v>7693</v>
      </c>
      <c r="N91" s="7">
        <v>700</v>
      </c>
      <c r="O91" s="2" t="s">
        <v>21</v>
      </c>
      <c r="P91" s="2" t="s">
        <v>78</v>
      </c>
      <c r="Q91" s="3">
        <f t="shared" si="1"/>
        <v>21</v>
      </c>
    </row>
    <row r="92" spans="1:17" x14ac:dyDescent="0.2">
      <c r="A92" s="2" t="s">
        <v>46</v>
      </c>
      <c r="B92" s="2" t="s">
        <v>154</v>
      </c>
      <c r="C92" s="2" t="s">
        <v>597</v>
      </c>
      <c r="D92" s="2" t="s">
        <v>597</v>
      </c>
      <c r="E92" s="2" t="s">
        <v>47</v>
      </c>
      <c r="F92" s="2" t="s">
        <v>48</v>
      </c>
      <c r="G92" s="8">
        <v>45985</v>
      </c>
      <c r="H92" s="2" t="s">
        <v>191</v>
      </c>
      <c r="I92" s="2" t="s">
        <v>192</v>
      </c>
      <c r="J92" s="8">
        <v>45986</v>
      </c>
      <c r="K92" s="8">
        <v>45987</v>
      </c>
      <c r="L92" s="2">
        <v>554</v>
      </c>
      <c r="M92" s="2">
        <v>7694</v>
      </c>
      <c r="N92" s="7">
        <v>800</v>
      </c>
      <c r="O92" s="2" t="s">
        <v>21</v>
      </c>
      <c r="P92" s="2" t="s">
        <v>78</v>
      </c>
      <c r="Q92" s="3">
        <f t="shared" si="1"/>
        <v>24</v>
      </c>
    </row>
    <row r="93" spans="1:17" x14ac:dyDescent="0.2">
      <c r="A93" s="2" t="s">
        <v>26</v>
      </c>
      <c r="B93" s="2" t="s">
        <v>193</v>
      </c>
      <c r="C93" s="2">
        <v>2564798912</v>
      </c>
      <c r="D93" s="2">
        <v>909632</v>
      </c>
      <c r="E93" s="2" t="s">
        <v>33</v>
      </c>
      <c r="F93" s="2" t="s">
        <v>27</v>
      </c>
      <c r="G93" s="8">
        <v>45986</v>
      </c>
      <c r="H93" s="2" t="s">
        <v>194</v>
      </c>
      <c r="I93" s="2" t="s">
        <v>195</v>
      </c>
      <c r="J93" s="8">
        <v>45986</v>
      </c>
      <c r="K93" s="8">
        <v>45987</v>
      </c>
      <c r="L93" s="2">
        <v>555</v>
      </c>
      <c r="M93" s="2">
        <v>7695</v>
      </c>
      <c r="N93" s="7">
        <v>1800</v>
      </c>
      <c r="O93" s="2" t="s">
        <v>21</v>
      </c>
      <c r="P93" s="2" t="s">
        <v>78</v>
      </c>
      <c r="Q93" s="3">
        <f t="shared" si="1"/>
        <v>54</v>
      </c>
    </row>
    <row r="94" spans="1:17" x14ac:dyDescent="0.2">
      <c r="A94" s="2" t="s">
        <v>464</v>
      </c>
      <c r="B94" s="2" t="s">
        <v>196</v>
      </c>
      <c r="C94" s="2">
        <v>9183472354</v>
      </c>
      <c r="D94" s="2">
        <v>5000098832</v>
      </c>
      <c r="E94" s="2" t="s">
        <v>33</v>
      </c>
      <c r="F94" s="2" t="s">
        <v>34</v>
      </c>
      <c r="G94" s="8">
        <v>45986</v>
      </c>
      <c r="H94" s="2" t="s">
        <v>197</v>
      </c>
      <c r="I94" s="2" t="s">
        <v>198</v>
      </c>
      <c r="J94" s="8">
        <v>45986</v>
      </c>
      <c r="K94" s="8">
        <v>45987</v>
      </c>
      <c r="L94" s="2">
        <v>556</v>
      </c>
      <c r="M94" s="2">
        <v>7696</v>
      </c>
      <c r="N94" s="7">
        <v>600</v>
      </c>
      <c r="O94" s="2" t="s">
        <v>21</v>
      </c>
      <c r="P94" s="2" t="s">
        <v>78</v>
      </c>
      <c r="Q94" s="3">
        <f t="shared" si="1"/>
        <v>18</v>
      </c>
    </row>
    <row r="95" spans="1:17" x14ac:dyDescent="0.2">
      <c r="A95" s="2" t="s">
        <v>465</v>
      </c>
      <c r="B95" s="2" t="s">
        <v>491</v>
      </c>
      <c r="C95" s="2">
        <v>8889567447</v>
      </c>
      <c r="D95" s="2">
        <v>1123738</v>
      </c>
      <c r="E95" s="2" t="s">
        <v>17</v>
      </c>
      <c r="F95" s="2" t="s">
        <v>79</v>
      </c>
      <c r="G95" s="8">
        <v>45986</v>
      </c>
      <c r="H95" s="2" t="s">
        <v>199</v>
      </c>
      <c r="I95" s="2" t="s">
        <v>200</v>
      </c>
      <c r="J95" s="8">
        <v>45989</v>
      </c>
      <c r="K95" s="8">
        <v>45992</v>
      </c>
      <c r="L95" s="2">
        <v>557</v>
      </c>
      <c r="M95" s="2">
        <v>7697</v>
      </c>
      <c r="N95" s="7">
        <v>2500</v>
      </c>
      <c r="O95" s="2" t="s">
        <v>21</v>
      </c>
      <c r="P95" s="2" t="s">
        <v>78</v>
      </c>
      <c r="Q95" s="3">
        <f t="shared" si="1"/>
        <v>75</v>
      </c>
    </row>
    <row r="96" spans="1:17" x14ac:dyDescent="0.2">
      <c r="A96" s="2" t="s">
        <v>465</v>
      </c>
      <c r="B96" s="2" t="s">
        <v>485</v>
      </c>
      <c r="C96" s="2">
        <v>4102298306</v>
      </c>
      <c r="D96" s="2">
        <v>2457490</v>
      </c>
      <c r="E96" s="2" t="s">
        <v>17</v>
      </c>
      <c r="F96" s="2" t="s">
        <v>43</v>
      </c>
      <c r="G96" s="8">
        <v>45986</v>
      </c>
      <c r="H96" s="2" t="s">
        <v>201</v>
      </c>
      <c r="I96" s="2" t="s">
        <v>202</v>
      </c>
      <c r="J96" s="8">
        <v>45988</v>
      </c>
      <c r="K96" s="8">
        <v>45990</v>
      </c>
      <c r="L96" s="2">
        <v>558</v>
      </c>
      <c r="M96" s="2">
        <v>7698</v>
      </c>
      <c r="N96" s="7">
        <v>1925</v>
      </c>
      <c r="O96" s="2" t="s">
        <v>21</v>
      </c>
      <c r="P96" s="2" t="s">
        <v>78</v>
      </c>
      <c r="Q96" s="3">
        <f t="shared" si="1"/>
        <v>57.75</v>
      </c>
    </row>
    <row r="97" spans="1:17" x14ac:dyDescent="0.2">
      <c r="A97" s="2" t="s">
        <v>465</v>
      </c>
      <c r="B97" s="2" t="s">
        <v>492</v>
      </c>
      <c r="C97" s="2">
        <v>5865801200</v>
      </c>
      <c r="D97" s="2">
        <v>1366543</v>
      </c>
      <c r="E97" s="2" t="s">
        <v>17</v>
      </c>
      <c r="F97" s="2" t="s">
        <v>106</v>
      </c>
      <c r="G97" s="8">
        <v>45987</v>
      </c>
      <c r="H97" s="2" t="s">
        <v>203</v>
      </c>
      <c r="I97" s="2" t="s">
        <v>204</v>
      </c>
      <c r="J97" s="8">
        <v>45987</v>
      </c>
      <c r="K97" s="8">
        <v>45988</v>
      </c>
      <c r="L97" s="2">
        <v>559</v>
      </c>
      <c r="M97" s="2">
        <v>7699</v>
      </c>
      <c r="N97" s="7">
        <v>1150</v>
      </c>
      <c r="O97" s="2" t="s">
        <v>21</v>
      </c>
      <c r="P97" s="2" t="s">
        <v>78</v>
      </c>
      <c r="Q97" s="3">
        <f t="shared" si="1"/>
        <v>34.5</v>
      </c>
    </row>
    <row r="98" spans="1:17" x14ac:dyDescent="0.2">
      <c r="A98" s="2" t="s">
        <v>466</v>
      </c>
      <c r="B98" s="2" t="s">
        <v>205</v>
      </c>
      <c r="C98" s="2" t="s">
        <v>547</v>
      </c>
      <c r="D98" s="2">
        <v>46917</v>
      </c>
      <c r="E98" s="2" t="s">
        <v>33</v>
      </c>
      <c r="F98" s="2" t="s">
        <v>88</v>
      </c>
      <c r="G98" s="8">
        <v>45987</v>
      </c>
      <c r="H98" s="2" t="s">
        <v>206</v>
      </c>
      <c r="I98" s="2" t="s">
        <v>184</v>
      </c>
      <c r="J98" s="8">
        <v>45987</v>
      </c>
      <c r="K98" s="8">
        <v>45988</v>
      </c>
      <c r="L98" s="2">
        <v>560</v>
      </c>
      <c r="M98" s="2">
        <v>7700</v>
      </c>
      <c r="N98" s="7">
        <v>600</v>
      </c>
      <c r="O98" s="2" t="s">
        <v>21</v>
      </c>
      <c r="P98" s="2" t="s">
        <v>78</v>
      </c>
      <c r="Q98" s="3">
        <f t="shared" si="1"/>
        <v>18</v>
      </c>
    </row>
    <row r="99" spans="1:17" x14ac:dyDescent="0.2">
      <c r="A99" s="2" t="s">
        <v>26</v>
      </c>
      <c r="B99" s="2" t="s">
        <v>467</v>
      </c>
      <c r="C99" s="2" t="s">
        <v>548</v>
      </c>
      <c r="D99" s="2">
        <v>34711130</v>
      </c>
      <c r="E99" s="2" t="s">
        <v>33</v>
      </c>
      <c r="F99" s="2" t="s">
        <v>27</v>
      </c>
      <c r="G99" s="8">
        <v>45992</v>
      </c>
      <c r="H99" s="2" t="s">
        <v>77</v>
      </c>
      <c r="I99" s="2" t="s">
        <v>207</v>
      </c>
      <c r="J99" s="8">
        <v>45992</v>
      </c>
      <c r="K99" s="8">
        <v>45995</v>
      </c>
      <c r="L99" s="2">
        <v>561</v>
      </c>
      <c r="M99" s="2">
        <v>7701</v>
      </c>
      <c r="N99" s="7">
        <v>2100</v>
      </c>
      <c r="O99" s="2" t="s">
        <v>21</v>
      </c>
      <c r="P99" s="2" t="s">
        <v>78</v>
      </c>
      <c r="Q99" s="3">
        <f t="shared" si="1"/>
        <v>63</v>
      </c>
    </row>
    <row r="100" spans="1:17" x14ac:dyDescent="0.2">
      <c r="A100" s="2" t="s">
        <v>26</v>
      </c>
      <c r="B100" s="2" t="s">
        <v>467</v>
      </c>
      <c r="C100" s="2" t="s">
        <v>549</v>
      </c>
      <c r="D100" s="2">
        <v>34697848</v>
      </c>
      <c r="E100" s="2" t="s">
        <v>33</v>
      </c>
      <c r="F100" s="2" t="s">
        <v>168</v>
      </c>
      <c r="G100" s="8">
        <v>45992</v>
      </c>
      <c r="H100" s="2" t="s">
        <v>119</v>
      </c>
      <c r="I100" s="2" t="s">
        <v>208</v>
      </c>
      <c r="J100" s="8">
        <v>45992</v>
      </c>
      <c r="K100" s="8">
        <v>45994</v>
      </c>
      <c r="L100" s="2">
        <v>562</v>
      </c>
      <c r="M100" s="2">
        <v>7702</v>
      </c>
      <c r="N100" s="7">
        <v>1600</v>
      </c>
      <c r="O100" s="2" t="s">
        <v>21</v>
      </c>
      <c r="P100" s="2" t="s">
        <v>22</v>
      </c>
      <c r="Q100" s="3">
        <f t="shared" si="1"/>
        <v>48</v>
      </c>
    </row>
    <row r="101" spans="1:17" x14ac:dyDescent="0.2">
      <c r="A101" s="2" t="s">
        <v>15</v>
      </c>
      <c r="B101" s="2" t="s">
        <v>209</v>
      </c>
      <c r="C101" s="2">
        <v>3802612027</v>
      </c>
      <c r="D101" s="2">
        <v>929364</v>
      </c>
      <c r="E101" s="2" t="s">
        <v>33</v>
      </c>
      <c r="F101" s="2" t="s">
        <v>52</v>
      </c>
      <c r="G101" s="8">
        <v>45992</v>
      </c>
      <c r="H101" s="2" t="s">
        <v>210</v>
      </c>
      <c r="I101" s="2" t="s">
        <v>211</v>
      </c>
      <c r="J101" s="8">
        <v>45992</v>
      </c>
      <c r="K101" s="8">
        <v>45993</v>
      </c>
      <c r="L101" s="2">
        <v>563</v>
      </c>
      <c r="M101" s="2">
        <v>7703</v>
      </c>
      <c r="N101" s="7">
        <v>2100</v>
      </c>
      <c r="O101" s="2" t="s">
        <v>21</v>
      </c>
      <c r="P101" s="2" t="s">
        <v>78</v>
      </c>
      <c r="Q101" s="3">
        <f t="shared" si="1"/>
        <v>63</v>
      </c>
    </row>
    <row r="102" spans="1:17" x14ac:dyDescent="0.2">
      <c r="A102" s="2" t="s">
        <v>464</v>
      </c>
      <c r="B102" s="2" t="s">
        <v>493</v>
      </c>
      <c r="C102" s="2">
        <v>6312131566</v>
      </c>
      <c r="D102" s="2">
        <v>12180681</v>
      </c>
      <c r="E102" s="2" t="s">
        <v>33</v>
      </c>
      <c r="F102" s="2" t="s">
        <v>34</v>
      </c>
      <c r="G102" s="8">
        <v>45992</v>
      </c>
      <c r="H102" s="2" t="s">
        <v>212</v>
      </c>
      <c r="I102" s="2" t="s">
        <v>213</v>
      </c>
      <c r="J102" s="8">
        <v>45992</v>
      </c>
      <c r="K102" s="8">
        <v>45995</v>
      </c>
      <c r="L102" s="2">
        <v>564</v>
      </c>
      <c r="M102" s="2">
        <v>7704</v>
      </c>
      <c r="N102" s="7">
        <v>4250</v>
      </c>
      <c r="O102" s="2" t="s">
        <v>21</v>
      </c>
      <c r="P102" s="2" t="s">
        <v>22</v>
      </c>
      <c r="Q102" s="3">
        <f t="shared" si="1"/>
        <v>127.5</v>
      </c>
    </row>
    <row r="103" spans="1:17" x14ac:dyDescent="0.2">
      <c r="A103" s="2" t="s">
        <v>466</v>
      </c>
      <c r="B103" s="2" t="s">
        <v>467</v>
      </c>
      <c r="C103" s="2" t="s">
        <v>550</v>
      </c>
      <c r="D103" s="2">
        <v>34710827</v>
      </c>
      <c r="E103" s="2" t="s">
        <v>47</v>
      </c>
      <c r="F103" s="2" t="s">
        <v>88</v>
      </c>
      <c r="G103" s="8">
        <v>45992</v>
      </c>
      <c r="H103" s="2" t="s">
        <v>214</v>
      </c>
      <c r="I103" s="2" t="s">
        <v>215</v>
      </c>
      <c r="J103" s="8">
        <v>45992</v>
      </c>
      <c r="K103" s="8">
        <v>45992</v>
      </c>
      <c r="L103" s="2">
        <v>565</v>
      </c>
      <c r="M103" s="2">
        <v>7705</v>
      </c>
      <c r="N103" s="7">
        <v>500</v>
      </c>
      <c r="O103" s="2" t="s">
        <v>21</v>
      </c>
      <c r="P103" s="2" t="s">
        <v>78</v>
      </c>
      <c r="Q103" s="3">
        <f t="shared" si="1"/>
        <v>15</v>
      </c>
    </row>
    <row r="104" spans="1:17" x14ac:dyDescent="0.2">
      <c r="A104" s="2" t="s">
        <v>465</v>
      </c>
      <c r="B104" s="2" t="s">
        <v>216</v>
      </c>
      <c r="C104" s="2">
        <v>4693201345</v>
      </c>
      <c r="D104" s="2">
        <v>1728613</v>
      </c>
      <c r="E104" s="2" t="s">
        <v>17</v>
      </c>
      <c r="F104" s="2" t="s">
        <v>112</v>
      </c>
      <c r="G104" s="8">
        <v>45992</v>
      </c>
      <c r="H104" s="2" t="s">
        <v>217</v>
      </c>
      <c r="I104" s="2" t="s">
        <v>218</v>
      </c>
      <c r="J104" s="8">
        <v>45992</v>
      </c>
      <c r="K104" s="8">
        <v>45993</v>
      </c>
      <c r="L104" s="2">
        <v>566</v>
      </c>
      <c r="M104" s="2">
        <v>7706</v>
      </c>
      <c r="N104" s="7">
        <v>1150</v>
      </c>
      <c r="O104" s="2" t="s">
        <v>21</v>
      </c>
      <c r="P104" s="2" t="s">
        <v>78</v>
      </c>
      <c r="Q104" s="3">
        <f t="shared" si="1"/>
        <v>34.5</v>
      </c>
    </row>
    <row r="105" spans="1:17" x14ac:dyDescent="0.2">
      <c r="A105" s="2" t="s">
        <v>465</v>
      </c>
      <c r="B105" s="2" t="s">
        <v>494</v>
      </c>
      <c r="C105" s="2">
        <v>8669815250</v>
      </c>
      <c r="D105" s="2">
        <v>666700</v>
      </c>
      <c r="E105" s="2" t="s">
        <v>17</v>
      </c>
      <c r="F105" s="2" t="s">
        <v>112</v>
      </c>
      <c r="G105" s="8">
        <v>45992</v>
      </c>
      <c r="H105" s="2" t="s">
        <v>219</v>
      </c>
      <c r="I105" s="2" t="s">
        <v>220</v>
      </c>
      <c r="J105" s="8">
        <v>45993</v>
      </c>
      <c r="K105" s="8">
        <v>45994</v>
      </c>
      <c r="L105" s="2">
        <v>567</v>
      </c>
      <c r="M105" s="2">
        <v>7707</v>
      </c>
      <c r="N105" s="7">
        <v>2000</v>
      </c>
      <c r="O105" s="2" t="s">
        <v>21</v>
      </c>
      <c r="P105" s="2" t="s">
        <v>78</v>
      </c>
      <c r="Q105" s="3">
        <f t="shared" si="1"/>
        <v>60</v>
      </c>
    </row>
    <row r="106" spans="1:17" x14ac:dyDescent="0.2">
      <c r="A106" s="2" t="s">
        <v>15</v>
      </c>
      <c r="B106" s="2" t="s">
        <v>467</v>
      </c>
      <c r="C106" s="2" t="s">
        <v>551</v>
      </c>
      <c r="D106" s="2">
        <v>34614688</v>
      </c>
      <c r="E106" s="2" t="s">
        <v>17</v>
      </c>
      <c r="F106" s="2" t="s">
        <v>52</v>
      </c>
      <c r="G106" s="8">
        <v>45992</v>
      </c>
      <c r="H106" s="2" t="s">
        <v>221</v>
      </c>
      <c r="I106" s="2" t="s">
        <v>222</v>
      </c>
      <c r="J106" s="8">
        <v>45993</v>
      </c>
      <c r="K106" s="8">
        <v>45995</v>
      </c>
      <c r="L106" s="2">
        <v>568</v>
      </c>
      <c r="M106" s="2">
        <v>7708</v>
      </c>
      <c r="N106" s="7">
        <v>1800</v>
      </c>
      <c r="O106" s="2" t="s">
        <v>594</v>
      </c>
      <c r="P106" s="2" t="s">
        <v>78</v>
      </c>
      <c r="Q106" s="3">
        <f t="shared" si="1"/>
        <v>54</v>
      </c>
    </row>
    <row r="107" spans="1:17" x14ac:dyDescent="0.2">
      <c r="A107" s="2" t="s">
        <v>26</v>
      </c>
      <c r="B107" s="2" t="s">
        <v>223</v>
      </c>
      <c r="C107" s="2">
        <v>4692380320</v>
      </c>
      <c r="D107" s="2" t="s">
        <v>597</v>
      </c>
      <c r="E107" s="2" t="s">
        <v>33</v>
      </c>
      <c r="F107" s="2" t="s">
        <v>27</v>
      </c>
      <c r="G107" s="8">
        <v>45992</v>
      </c>
      <c r="H107" s="2" t="s">
        <v>131</v>
      </c>
      <c r="I107" s="2" t="s">
        <v>224</v>
      </c>
      <c r="J107" s="8">
        <v>45993</v>
      </c>
      <c r="K107" s="8">
        <v>45995</v>
      </c>
      <c r="L107" s="2">
        <v>569</v>
      </c>
      <c r="M107" s="2">
        <v>7709</v>
      </c>
      <c r="N107" s="7">
        <v>600</v>
      </c>
      <c r="O107" s="2" t="s">
        <v>594</v>
      </c>
      <c r="P107" s="2" t="s">
        <v>78</v>
      </c>
      <c r="Q107" s="3">
        <f t="shared" si="1"/>
        <v>18</v>
      </c>
    </row>
    <row r="108" spans="1:17" x14ac:dyDescent="0.2">
      <c r="A108" s="2" t="s">
        <v>466</v>
      </c>
      <c r="B108" s="2" t="s">
        <v>467</v>
      </c>
      <c r="C108" s="2" t="s">
        <v>552</v>
      </c>
      <c r="D108" s="2">
        <v>34723159</v>
      </c>
      <c r="E108" s="2" t="s">
        <v>47</v>
      </c>
      <c r="F108" s="2" t="s">
        <v>88</v>
      </c>
      <c r="G108" s="8">
        <v>45992</v>
      </c>
      <c r="H108" s="2" t="s">
        <v>225</v>
      </c>
      <c r="I108" s="2" t="s">
        <v>226</v>
      </c>
      <c r="J108" s="8">
        <v>45993</v>
      </c>
      <c r="K108" s="8">
        <v>45993</v>
      </c>
      <c r="L108" s="2">
        <v>570</v>
      </c>
      <c r="M108" s="2">
        <v>7710</v>
      </c>
      <c r="N108" s="7">
        <v>950</v>
      </c>
      <c r="O108" s="2" t="s">
        <v>21</v>
      </c>
      <c r="P108" s="2" t="s">
        <v>78</v>
      </c>
      <c r="Q108" s="3">
        <f t="shared" si="1"/>
        <v>28.5</v>
      </c>
    </row>
    <row r="109" spans="1:17" x14ac:dyDescent="0.2">
      <c r="A109" s="2" t="s">
        <v>15</v>
      </c>
      <c r="B109" s="2" t="s">
        <v>227</v>
      </c>
      <c r="C109" s="2">
        <v>6292289466</v>
      </c>
      <c r="D109" s="2">
        <v>219871</v>
      </c>
      <c r="E109" s="2" t="s">
        <v>33</v>
      </c>
      <c r="F109" s="2" t="s">
        <v>52</v>
      </c>
      <c r="G109" s="8">
        <v>45993</v>
      </c>
      <c r="H109" s="2" t="s">
        <v>228</v>
      </c>
      <c r="I109" s="2" t="s">
        <v>229</v>
      </c>
      <c r="J109" s="8">
        <v>45993</v>
      </c>
      <c r="K109" s="8">
        <v>45994</v>
      </c>
      <c r="L109" s="2">
        <v>571</v>
      </c>
      <c r="M109" s="2">
        <v>7711</v>
      </c>
      <c r="N109" s="7">
        <v>899</v>
      </c>
      <c r="O109" s="2" t="s">
        <v>21</v>
      </c>
      <c r="P109" s="2" t="s">
        <v>78</v>
      </c>
      <c r="Q109" s="3">
        <f t="shared" si="1"/>
        <v>26.97</v>
      </c>
    </row>
    <row r="110" spans="1:17" x14ac:dyDescent="0.2">
      <c r="A110" s="2" t="s">
        <v>15</v>
      </c>
      <c r="B110" s="2" t="s">
        <v>469</v>
      </c>
      <c r="C110" s="2">
        <v>8006431128</v>
      </c>
      <c r="D110" s="2">
        <v>1973034</v>
      </c>
      <c r="E110" s="2" t="s">
        <v>17</v>
      </c>
      <c r="F110" s="2" t="s">
        <v>71</v>
      </c>
      <c r="G110" s="8">
        <v>45993</v>
      </c>
      <c r="H110" s="2" t="s">
        <v>72</v>
      </c>
      <c r="I110" s="2" t="s">
        <v>73</v>
      </c>
      <c r="J110" s="8">
        <v>45994</v>
      </c>
      <c r="K110" s="8">
        <v>45995</v>
      </c>
      <c r="L110" s="2">
        <v>572</v>
      </c>
      <c r="M110" s="2">
        <v>7712</v>
      </c>
      <c r="N110" s="7">
        <v>1100</v>
      </c>
      <c r="O110" s="2" t="s">
        <v>21</v>
      </c>
      <c r="P110" s="2" t="s">
        <v>78</v>
      </c>
      <c r="Q110" s="3">
        <f t="shared" si="1"/>
        <v>33</v>
      </c>
    </row>
    <row r="111" spans="1:17" x14ac:dyDescent="0.2">
      <c r="A111" s="2" t="s">
        <v>465</v>
      </c>
      <c r="B111" s="2" t="s">
        <v>467</v>
      </c>
      <c r="C111" s="2" t="s">
        <v>553</v>
      </c>
      <c r="D111" s="2">
        <v>34724256</v>
      </c>
      <c r="E111" s="2" t="s">
        <v>17</v>
      </c>
      <c r="F111" s="2" t="s">
        <v>106</v>
      </c>
      <c r="G111" s="8">
        <v>45993</v>
      </c>
      <c r="H111" s="2" t="s">
        <v>230</v>
      </c>
      <c r="I111" s="2" t="s">
        <v>231</v>
      </c>
      <c r="J111" s="8">
        <v>45993</v>
      </c>
      <c r="K111" s="8">
        <v>45995</v>
      </c>
      <c r="L111" s="2">
        <v>1215</v>
      </c>
      <c r="M111" s="2">
        <v>7713</v>
      </c>
      <c r="N111" s="7">
        <v>2300</v>
      </c>
      <c r="O111" s="2" t="s">
        <v>21</v>
      </c>
      <c r="P111" s="2" t="s">
        <v>78</v>
      </c>
      <c r="Q111" s="3">
        <f t="shared" si="1"/>
        <v>69</v>
      </c>
    </row>
    <row r="112" spans="1:17" x14ac:dyDescent="0.2">
      <c r="A112" s="2" t="s">
        <v>465</v>
      </c>
      <c r="B112" s="2" t="s">
        <v>495</v>
      </c>
      <c r="C112" s="2">
        <v>7755013210</v>
      </c>
      <c r="D112" s="2">
        <v>4260195</v>
      </c>
      <c r="E112" s="2" t="s">
        <v>17</v>
      </c>
      <c r="F112" s="2" t="s">
        <v>123</v>
      </c>
      <c r="G112" s="8">
        <v>45993</v>
      </c>
      <c r="H112" s="2" t="s">
        <v>232</v>
      </c>
      <c r="I112" s="2" t="s">
        <v>233</v>
      </c>
      <c r="J112" s="8">
        <v>45993</v>
      </c>
      <c r="K112" s="8">
        <v>45995</v>
      </c>
      <c r="L112" s="2">
        <v>1216</v>
      </c>
      <c r="M112" s="2">
        <v>7714</v>
      </c>
      <c r="N112" s="7">
        <v>2500</v>
      </c>
      <c r="O112" s="2" t="s">
        <v>21</v>
      </c>
      <c r="P112" s="2" t="s">
        <v>78</v>
      </c>
      <c r="Q112" s="3">
        <f t="shared" si="1"/>
        <v>75</v>
      </c>
    </row>
    <row r="113" spans="1:17" x14ac:dyDescent="0.2">
      <c r="A113" s="2" t="s">
        <v>465</v>
      </c>
      <c r="B113" s="2" t="s">
        <v>234</v>
      </c>
      <c r="C113" s="2">
        <v>7125603638</v>
      </c>
      <c r="D113" s="2">
        <v>9297473</v>
      </c>
      <c r="E113" s="2" t="s">
        <v>17</v>
      </c>
      <c r="F113" s="2" t="s">
        <v>112</v>
      </c>
      <c r="G113" s="8">
        <v>45993</v>
      </c>
      <c r="H113" s="2" t="s">
        <v>235</v>
      </c>
      <c r="I113" s="2" t="s">
        <v>236</v>
      </c>
      <c r="J113" s="8">
        <v>45994</v>
      </c>
      <c r="K113" s="8">
        <v>45995</v>
      </c>
      <c r="L113" s="2">
        <v>1217</v>
      </c>
      <c r="M113" s="2">
        <v>7715</v>
      </c>
      <c r="N113" s="7">
        <v>1388</v>
      </c>
      <c r="O113" s="2" t="s">
        <v>21</v>
      </c>
      <c r="P113" s="2" t="s">
        <v>78</v>
      </c>
      <c r="Q113" s="3">
        <f t="shared" si="1"/>
        <v>41.64</v>
      </c>
    </row>
    <row r="114" spans="1:17" x14ac:dyDescent="0.2">
      <c r="A114" s="2" t="s">
        <v>15</v>
      </c>
      <c r="B114" s="2" t="s">
        <v>476</v>
      </c>
      <c r="C114" s="2">
        <v>8882927627</v>
      </c>
      <c r="D114" s="2" t="s">
        <v>597</v>
      </c>
      <c r="E114" s="2" t="s">
        <v>17</v>
      </c>
      <c r="F114" s="2" t="s">
        <v>52</v>
      </c>
      <c r="G114" s="8">
        <v>45993</v>
      </c>
      <c r="H114" s="2" t="s">
        <v>103</v>
      </c>
      <c r="I114" s="2" t="s">
        <v>237</v>
      </c>
      <c r="J114" s="8">
        <v>45994</v>
      </c>
      <c r="K114" s="8">
        <v>45995</v>
      </c>
      <c r="L114" s="2">
        <v>1218</v>
      </c>
      <c r="M114" s="2">
        <v>7716</v>
      </c>
      <c r="N114" s="7">
        <v>1700</v>
      </c>
      <c r="O114" s="2" t="s">
        <v>21</v>
      </c>
      <c r="P114" s="2" t="s">
        <v>22</v>
      </c>
      <c r="Q114" s="3">
        <f t="shared" si="1"/>
        <v>51</v>
      </c>
    </row>
    <row r="115" spans="1:17" x14ac:dyDescent="0.2">
      <c r="A115" s="2" t="s">
        <v>15</v>
      </c>
      <c r="B115" s="2" t="s">
        <v>467</v>
      </c>
      <c r="C115" s="2" t="s">
        <v>554</v>
      </c>
      <c r="D115" s="2">
        <v>34701820</v>
      </c>
      <c r="E115" s="2" t="s">
        <v>17</v>
      </c>
      <c r="F115" s="2" t="s">
        <v>52</v>
      </c>
      <c r="G115" s="8">
        <v>45994</v>
      </c>
      <c r="H115" s="2" t="s">
        <v>237</v>
      </c>
      <c r="I115" s="2" t="s">
        <v>238</v>
      </c>
      <c r="J115" s="8">
        <v>45995</v>
      </c>
      <c r="K115" s="8">
        <v>45996</v>
      </c>
      <c r="L115" s="2">
        <v>1219</v>
      </c>
      <c r="M115" s="2">
        <v>7717</v>
      </c>
      <c r="N115" s="7">
        <v>2475</v>
      </c>
      <c r="O115" s="2" t="s">
        <v>21</v>
      </c>
      <c r="P115" s="2" t="s">
        <v>78</v>
      </c>
      <c r="Q115" s="3">
        <f t="shared" si="1"/>
        <v>74.25</v>
      </c>
    </row>
    <row r="116" spans="1:17" x14ac:dyDescent="0.2">
      <c r="A116" s="2" t="s">
        <v>26</v>
      </c>
      <c r="B116" s="2" t="s">
        <v>467</v>
      </c>
      <c r="C116" s="2" t="s">
        <v>555</v>
      </c>
      <c r="D116" s="2">
        <v>34747194</v>
      </c>
      <c r="E116" s="2" t="s">
        <v>33</v>
      </c>
      <c r="F116" s="2" t="s">
        <v>168</v>
      </c>
      <c r="G116" s="8">
        <v>45994</v>
      </c>
      <c r="H116" s="2" t="s">
        <v>239</v>
      </c>
      <c r="I116" s="2" t="s">
        <v>240</v>
      </c>
      <c r="J116" s="8">
        <v>45994</v>
      </c>
      <c r="K116" s="8">
        <v>45999</v>
      </c>
      <c r="L116" s="2">
        <v>1220</v>
      </c>
      <c r="M116" s="2">
        <v>7718</v>
      </c>
      <c r="N116" s="7">
        <v>2750</v>
      </c>
      <c r="O116" s="2" t="s">
        <v>21</v>
      </c>
      <c r="P116" s="2" t="s">
        <v>22</v>
      </c>
      <c r="Q116" s="3">
        <f t="shared" si="1"/>
        <v>82.5</v>
      </c>
    </row>
    <row r="117" spans="1:17" x14ac:dyDescent="0.2">
      <c r="A117" s="2" t="s">
        <v>465</v>
      </c>
      <c r="B117" s="2" t="s">
        <v>241</v>
      </c>
      <c r="C117" s="2" t="s">
        <v>556</v>
      </c>
      <c r="D117" s="2">
        <v>877819</v>
      </c>
      <c r="E117" s="2" t="s">
        <v>17</v>
      </c>
      <c r="F117" s="2" t="s">
        <v>60</v>
      </c>
      <c r="G117" s="8">
        <v>45994</v>
      </c>
      <c r="H117" s="2" t="s">
        <v>242</v>
      </c>
      <c r="I117" s="2" t="s">
        <v>104</v>
      </c>
      <c r="J117" s="8">
        <v>45995</v>
      </c>
      <c r="K117" s="8">
        <v>45996</v>
      </c>
      <c r="L117" s="2">
        <v>1221</v>
      </c>
      <c r="M117" s="2">
        <v>7719</v>
      </c>
      <c r="N117" s="7">
        <v>1600</v>
      </c>
      <c r="O117" s="2" t="s">
        <v>21</v>
      </c>
      <c r="P117" s="2" t="s">
        <v>78</v>
      </c>
      <c r="Q117" s="3">
        <f t="shared" si="1"/>
        <v>48</v>
      </c>
    </row>
    <row r="118" spans="1:17" x14ac:dyDescent="0.2">
      <c r="A118" s="2" t="s">
        <v>465</v>
      </c>
      <c r="B118" s="2" t="s">
        <v>496</v>
      </c>
      <c r="C118" s="2">
        <v>9107950658</v>
      </c>
      <c r="D118" s="2" t="s">
        <v>243</v>
      </c>
      <c r="E118" s="2" t="s">
        <v>17</v>
      </c>
      <c r="F118" s="2" t="s">
        <v>112</v>
      </c>
      <c r="G118" s="8">
        <v>45994</v>
      </c>
      <c r="H118" s="2" t="s">
        <v>244</v>
      </c>
      <c r="I118" s="2" t="s">
        <v>245</v>
      </c>
      <c r="J118" s="8">
        <v>45995</v>
      </c>
      <c r="K118" s="8">
        <v>45996</v>
      </c>
      <c r="L118" s="2">
        <v>1222</v>
      </c>
      <c r="M118" s="2">
        <v>7720</v>
      </c>
      <c r="N118" s="7">
        <v>1000</v>
      </c>
      <c r="O118" s="2" t="s">
        <v>21</v>
      </c>
      <c r="P118" s="2" t="s">
        <v>78</v>
      </c>
      <c r="Q118" s="3">
        <f t="shared" si="1"/>
        <v>30</v>
      </c>
    </row>
    <row r="119" spans="1:17" x14ac:dyDescent="0.2">
      <c r="A119" s="2" t="s">
        <v>46</v>
      </c>
      <c r="B119" s="2" t="s">
        <v>467</v>
      </c>
      <c r="C119" s="2" t="s">
        <v>597</v>
      </c>
      <c r="D119" s="2" t="s">
        <v>597</v>
      </c>
      <c r="E119" s="2" t="s">
        <v>47</v>
      </c>
      <c r="F119" s="2" t="s">
        <v>48</v>
      </c>
      <c r="G119" s="8">
        <v>45994</v>
      </c>
      <c r="H119" s="2" t="s">
        <v>246</v>
      </c>
      <c r="I119" s="2" t="s">
        <v>247</v>
      </c>
      <c r="J119" s="8">
        <v>45994</v>
      </c>
      <c r="K119" s="8">
        <v>45995</v>
      </c>
      <c r="L119" s="2">
        <v>1223</v>
      </c>
      <c r="M119" s="2">
        <v>7721</v>
      </c>
      <c r="N119" s="7">
        <v>575</v>
      </c>
      <c r="O119" s="2" t="s">
        <v>21</v>
      </c>
      <c r="P119" s="2" t="s">
        <v>78</v>
      </c>
      <c r="Q119" s="3">
        <f t="shared" si="1"/>
        <v>17.25</v>
      </c>
    </row>
    <row r="120" spans="1:17" x14ac:dyDescent="0.2">
      <c r="A120" s="2" t="s">
        <v>26</v>
      </c>
      <c r="B120" s="2" t="s">
        <v>248</v>
      </c>
      <c r="C120" s="2">
        <v>8014277191</v>
      </c>
      <c r="D120" s="2">
        <v>1730696</v>
      </c>
      <c r="E120" s="2" t="s">
        <v>33</v>
      </c>
      <c r="F120" s="2" t="s">
        <v>27</v>
      </c>
      <c r="G120" s="8">
        <v>45995</v>
      </c>
      <c r="H120" s="2" t="s">
        <v>249</v>
      </c>
      <c r="I120" s="2" t="s">
        <v>77</v>
      </c>
      <c r="J120" s="8">
        <v>45995</v>
      </c>
      <c r="K120" s="8">
        <v>45999</v>
      </c>
      <c r="L120" s="2">
        <v>1224</v>
      </c>
      <c r="M120" s="2">
        <v>7722</v>
      </c>
      <c r="N120" s="7">
        <v>2400</v>
      </c>
      <c r="O120" s="2" t="s">
        <v>21</v>
      </c>
      <c r="P120" s="2" t="s">
        <v>22</v>
      </c>
      <c r="Q120" s="3">
        <f t="shared" si="1"/>
        <v>72</v>
      </c>
    </row>
    <row r="121" spans="1:17" x14ac:dyDescent="0.2">
      <c r="A121" s="2" t="s">
        <v>26</v>
      </c>
      <c r="B121" s="2" t="s">
        <v>497</v>
      </c>
      <c r="C121" s="2">
        <v>2533783118</v>
      </c>
      <c r="D121" s="2">
        <v>10889</v>
      </c>
      <c r="E121" s="2" t="s">
        <v>33</v>
      </c>
      <c r="F121" s="2" t="s">
        <v>168</v>
      </c>
      <c r="G121" s="8">
        <v>45995</v>
      </c>
      <c r="H121" s="2" t="s">
        <v>250</v>
      </c>
      <c r="I121" s="2" t="s">
        <v>251</v>
      </c>
      <c r="J121" s="8">
        <v>45995</v>
      </c>
      <c r="K121" s="8">
        <v>45999</v>
      </c>
      <c r="L121" s="2">
        <v>1225</v>
      </c>
      <c r="M121" s="2">
        <v>7723</v>
      </c>
      <c r="N121" s="7">
        <v>1400</v>
      </c>
      <c r="O121" s="2" t="s">
        <v>21</v>
      </c>
      <c r="P121" s="2" t="s">
        <v>22</v>
      </c>
      <c r="Q121" s="3">
        <f t="shared" si="1"/>
        <v>42</v>
      </c>
    </row>
    <row r="122" spans="1:17" x14ac:dyDescent="0.2">
      <c r="A122" s="2" t="s">
        <v>466</v>
      </c>
      <c r="B122" s="2" t="s">
        <v>467</v>
      </c>
      <c r="C122" s="2" t="s">
        <v>557</v>
      </c>
      <c r="D122" s="2">
        <v>34774113</v>
      </c>
      <c r="E122" s="2" t="s">
        <v>47</v>
      </c>
      <c r="F122" s="2" t="s">
        <v>88</v>
      </c>
      <c r="G122" s="8">
        <v>45995</v>
      </c>
      <c r="H122" s="2" t="s">
        <v>252</v>
      </c>
      <c r="I122" s="2" t="s">
        <v>190</v>
      </c>
      <c r="J122" s="8">
        <v>45995</v>
      </c>
      <c r="K122" s="8">
        <v>45996</v>
      </c>
      <c r="L122" s="2">
        <v>1226</v>
      </c>
      <c r="M122" s="2">
        <v>7724</v>
      </c>
      <c r="N122" s="7">
        <v>700</v>
      </c>
      <c r="O122" s="2" t="s">
        <v>21</v>
      </c>
      <c r="P122" s="2" t="s">
        <v>78</v>
      </c>
      <c r="Q122" s="3">
        <f t="shared" si="1"/>
        <v>21</v>
      </c>
    </row>
    <row r="123" spans="1:17" x14ac:dyDescent="0.2">
      <c r="A123" s="2" t="s">
        <v>464</v>
      </c>
      <c r="B123" s="2" t="s">
        <v>253</v>
      </c>
      <c r="C123" s="2">
        <v>3126058600</v>
      </c>
      <c r="D123" s="2">
        <v>643894</v>
      </c>
      <c r="E123" s="2" t="s">
        <v>17</v>
      </c>
      <c r="F123" s="2" t="s">
        <v>34</v>
      </c>
      <c r="G123" s="8">
        <v>45995</v>
      </c>
      <c r="H123" s="2" t="s">
        <v>254</v>
      </c>
      <c r="I123" s="2" t="s">
        <v>77</v>
      </c>
      <c r="J123" s="8">
        <v>45995</v>
      </c>
      <c r="K123" s="8">
        <v>45996</v>
      </c>
      <c r="L123" s="2">
        <v>1227</v>
      </c>
      <c r="M123" s="2">
        <v>7725</v>
      </c>
      <c r="N123" s="7">
        <v>850</v>
      </c>
      <c r="O123" s="2" t="s">
        <v>21</v>
      </c>
      <c r="P123" s="2" t="s">
        <v>78</v>
      </c>
      <c r="Q123" s="3">
        <f t="shared" si="1"/>
        <v>25.5</v>
      </c>
    </row>
    <row r="124" spans="1:17" x14ac:dyDescent="0.2">
      <c r="A124" s="2" t="s">
        <v>26</v>
      </c>
      <c r="B124" s="2" t="s">
        <v>498</v>
      </c>
      <c r="C124" s="2" t="s">
        <v>558</v>
      </c>
      <c r="D124" s="2">
        <v>116172</v>
      </c>
      <c r="E124" s="2" t="s">
        <v>33</v>
      </c>
      <c r="F124" s="2" t="s">
        <v>27</v>
      </c>
      <c r="G124" s="8">
        <v>45996</v>
      </c>
      <c r="H124" s="2" t="s">
        <v>255</v>
      </c>
      <c r="I124" s="2" t="s">
        <v>256</v>
      </c>
      <c r="J124" s="8">
        <v>45996</v>
      </c>
      <c r="K124" s="8">
        <v>45999</v>
      </c>
      <c r="L124" s="2">
        <v>1228</v>
      </c>
      <c r="M124" s="2">
        <v>7726</v>
      </c>
      <c r="N124" s="7">
        <v>2200</v>
      </c>
      <c r="O124" s="2" t="s">
        <v>594</v>
      </c>
      <c r="P124" s="2" t="s">
        <v>78</v>
      </c>
      <c r="Q124" s="3">
        <f t="shared" si="1"/>
        <v>66</v>
      </c>
    </row>
    <row r="125" spans="1:17" x14ac:dyDescent="0.2">
      <c r="A125" s="2" t="s">
        <v>464</v>
      </c>
      <c r="B125" s="2" t="s">
        <v>257</v>
      </c>
      <c r="C125" s="2" t="s">
        <v>559</v>
      </c>
      <c r="D125" s="2" t="s">
        <v>258</v>
      </c>
      <c r="E125" s="2" t="s">
        <v>33</v>
      </c>
      <c r="F125" s="2" t="s">
        <v>34</v>
      </c>
      <c r="G125" s="8">
        <v>45996</v>
      </c>
      <c r="H125" s="2" t="s">
        <v>77</v>
      </c>
      <c r="I125" s="2" t="s">
        <v>36</v>
      </c>
      <c r="J125" s="8">
        <v>45996</v>
      </c>
      <c r="K125" s="8">
        <v>45999</v>
      </c>
      <c r="L125" s="2">
        <v>1229</v>
      </c>
      <c r="M125" s="2">
        <v>7727</v>
      </c>
      <c r="N125" s="7">
        <v>2800</v>
      </c>
      <c r="O125" s="2" t="s">
        <v>21</v>
      </c>
      <c r="P125" s="2" t="s">
        <v>78</v>
      </c>
      <c r="Q125" s="3">
        <f t="shared" si="1"/>
        <v>84</v>
      </c>
    </row>
    <row r="126" spans="1:17" x14ac:dyDescent="0.2">
      <c r="A126" s="2" t="s">
        <v>466</v>
      </c>
      <c r="B126" s="2" t="s">
        <v>135</v>
      </c>
      <c r="C126" s="2">
        <v>9134212965</v>
      </c>
      <c r="D126" s="2">
        <v>5586349</v>
      </c>
      <c r="E126" s="2" t="s">
        <v>47</v>
      </c>
      <c r="F126" s="2" t="s">
        <v>88</v>
      </c>
      <c r="G126" s="8">
        <v>45996</v>
      </c>
      <c r="H126" s="2" t="s">
        <v>259</v>
      </c>
      <c r="I126" s="2" t="s">
        <v>260</v>
      </c>
      <c r="J126" s="8">
        <v>45996</v>
      </c>
      <c r="K126" s="8">
        <v>45999</v>
      </c>
      <c r="L126" s="2">
        <v>1230</v>
      </c>
      <c r="M126" s="2">
        <v>9898</v>
      </c>
      <c r="N126" s="7">
        <v>1700</v>
      </c>
      <c r="O126" s="2" t="s">
        <v>21</v>
      </c>
      <c r="P126" s="2" t="s">
        <v>22</v>
      </c>
      <c r="Q126" s="3">
        <f t="shared" si="1"/>
        <v>51</v>
      </c>
    </row>
    <row r="127" spans="1:17" x14ac:dyDescent="0.2">
      <c r="A127" s="2" t="s">
        <v>465</v>
      </c>
      <c r="B127" s="2" t="s">
        <v>499</v>
      </c>
      <c r="C127" s="2">
        <v>2055880062</v>
      </c>
      <c r="D127" s="2">
        <v>103780</v>
      </c>
      <c r="E127" s="2" t="s">
        <v>17</v>
      </c>
      <c r="F127" s="2" t="s">
        <v>112</v>
      </c>
      <c r="G127" s="8">
        <v>45996</v>
      </c>
      <c r="H127" s="2" t="s">
        <v>261</v>
      </c>
      <c r="I127" s="2" t="s">
        <v>262</v>
      </c>
      <c r="J127" s="8">
        <v>45996</v>
      </c>
      <c r="K127" s="8">
        <v>45999</v>
      </c>
      <c r="L127" s="2">
        <v>1231</v>
      </c>
      <c r="M127" s="2">
        <v>9899</v>
      </c>
      <c r="N127" s="7">
        <v>2300</v>
      </c>
      <c r="O127" s="2" t="s">
        <v>21</v>
      </c>
      <c r="P127" s="2" t="s">
        <v>78</v>
      </c>
      <c r="Q127" s="3">
        <f t="shared" si="1"/>
        <v>69</v>
      </c>
    </row>
    <row r="128" spans="1:17" x14ac:dyDescent="0.2">
      <c r="A128" s="2" t="s">
        <v>466</v>
      </c>
      <c r="B128" s="2" t="s">
        <v>205</v>
      </c>
      <c r="C128" s="2" t="s">
        <v>547</v>
      </c>
      <c r="D128" s="2">
        <v>47165</v>
      </c>
      <c r="E128" s="2" t="s">
        <v>47</v>
      </c>
      <c r="F128" s="2" t="s">
        <v>88</v>
      </c>
      <c r="G128" s="8">
        <v>45996</v>
      </c>
      <c r="H128" s="2" t="s">
        <v>263</v>
      </c>
      <c r="I128" s="2" t="s">
        <v>184</v>
      </c>
      <c r="J128" s="8">
        <v>45996</v>
      </c>
      <c r="K128" s="8">
        <v>45996</v>
      </c>
      <c r="L128" s="2">
        <v>1232</v>
      </c>
      <c r="M128" s="2">
        <v>9900</v>
      </c>
      <c r="N128" s="7">
        <v>750</v>
      </c>
      <c r="O128" s="2" t="s">
        <v>21</v>
      </c>
      <c r="P128" s="2" t="s">
        <v>78</v>
      </c>
      <c r="Q128" s="3">
        <f t="shared" si="1"/>
        <v>22.5</v>
      </c>
    </row>
    <row r="129" spans="1:17" x14ac:dyDescent="0.2">
      <c r="A129" s="2" t="s">
        <v>465</v>
      </c>
      <c r="B129" s="2" t="s">
        <v>264</v>
      </c>
      <c r="C129" s="2">
        <v>3476974600</v>
      </c>
      <c r="D129" s="2" t="s">
        <v>265</v>
      </c>
      <c r="E129" s="2" t="s">
        <v>17</v>
      </c>
      <c r="F129" s="2" t="s">
        <v>112</v>
      </c>
      <c r="G129" s="8">
        <v>45996</v>
      </c>
      <c r="H129" s="2" t="s">
        <v>266</v>
      </c>
      <c r="I129" s="2" t="s">
        <v>267</v>
      </c>
      <c r="J129" s="8">
        <v>45999</v>
      </c>
      <c r="K129" s="8">
        <v>46001</v>
      </c>
      <c r="L129" s="2">
        <v>1233</v>
      </c>
      <c r="M129" s="2">
        <v>9901</v>
      </c>
      <c r="N129" s="7">
        <v>2100</v>
      </c>
      <c r="O129" s="2" t="s">
        <v>594</v>
      </c>
      <c r="P129" s="2" t="s">
        <v>78</v>
      </c>
      <c r="Q129" s="3">
        <f t="shared" si="1"/>
        <v>63</v>
      </c>
    </row>
    <row r="130" spans="1:17" x14ac:dyDescent="0.2">
      <c r="A130" s="2" t="s">
        <v>26</v>
      </c>
      <c r="B130" s="2" t="s">
        <v>467</v>
      </c>
      <c r="C130" s="2" t="s">
        <v>560</v>
      </c>
      <c r="D130" s="2">
        <v>34810679</v>
      </c>
      <c r="E130" s="2" t="s">
        <v>33</v>
      </c>
      <c r="F130" s="2" t="s">
        <v>168</v>
      </c>
      <c r="G130" s="8">
        <v>45999</v>
      </c>
      <c r="H130" s="2" t="s">
        <v>268</v>
      </c>
      <c r="I130" s="2" t="s">
        <v>269</v>
      </c>
      <c r="J130" s="8">
        <v>45999</v>
      </c>
      <c r="K130" s="8">
        <v>46000</v>
      </c>
      <c r="L130" s="2">
        <v>1234</v>
      </c>
      <c r="M130" s="2">
        <v>9902</v>
      </c>
      <c r="N130" s="7">
        <v>1450</v>
      </c>
      <c r="O130" s="2" t="s">
        <v>21</v>
      </c>
      <c r="P130" s="2" t="s">
        <v>22</v>
      </c>
      <c r="Q130" s="3">
        <f t="shared" si="1"/>
        <v>43.5</v>
      </c>
    </row>
    <row r="131" spans="1:17" x14ac:dyDescent="0.2">
      <c r="A131" s="2" t="s">
        <v>466</v>
      </c>
      <c r="B131" s="2" t="s">
        <v>270</v>
      </c>
      <c r="C131" s="2">
        <v>5863882284</v>
      </c>
      <c r="D131" s="2" t="s">
        <v>271</v>
      </c>
      <c r="E131" s="2" t="s">
        <v>47</v>
      </c>
      <c r="F131" s="2" t="s">
        <v>88</v>
      </c>
      <c r="G131" s="8">
        <v>45999</v>
      </c>
      <c r="H131" s="2" t="s">
        <v>272</v>
      </c>
      <c r="I131" s="2" t="s">
        <v>273</v>
      </c>
      <c r="J131" s="8">
        <v>45999</v>
      </c>
      <c r="K131" s="8">
        <v>46000</v>
      </c>
      <c r="L131" s="2">
        <v>1235</v>
      </c>
      <c r="M131" s="2">
        <v>9903</v>
      </c>
      <c r="N131" s="7">
        <v>725</v>
      </c>
      <c r="O131" s="2" t="s">
        <v>21</v>
      </c>
      <c r="P131" s="2" t="s">
        <v>22</v>
      </c>
      <c r="Q131" s="3">
        <f t="shared" ref="Q131:Q191" si="2">N131*0.03</f>
        <v>21.75</v>
      </c>
    </row>
    <row r="132" spans="1:17" x14ac:dyDescent="0.2">
      <c r="A132" s="2" t="s">
        <v>465</v>
      </c>
      <c r="B132" s="2" t="s">
        <v>274</v>
      </c>
      <c r="C132" s="2" t="s">
        <v>597</v>
      </c>
      <c r="D132" s="2">
        <v>60012469049</v>
      </c>
      <c r="E132" s="2" t="s">
        <v>17</v>
      </c>
      <c r="F132" s="2" t="s">
        <v>43</v>
      </c>
      <c r="G132" s="8">
        <v>45999</v>
      </c>
      <c r="H132" s="2" t="s">
        <v>275</v>
      </c>
      <c r="I132" s="2" t="s">
        <v>276</v>
      </c>
      <c r="J132" s="8">
        <v>45999</v>
      </c>
      <c r="K132" s="8">
        <v>46001</v>
      </c>
      <c r="L132" s="2">
        <v>1236</v>
      </c>
      <c r="M132" s="2">
        <v>9904</v>
      </c>
      <c r="N132" s="7">
        <v>1600</v>
      </c>
      <c r="O132" s="2" t="s">
        <v>21</v>
      </c>
      <c r="P132" s="2" t="s">
        <v>78</v>
      </c>
      <c r="Q132" s="3">
        <f t="shared" si="2"/>
        <v>48</v>
      </c>
    </row>
    <row r="133" spans="1:17" x14ac:dyDescent="0.2">
      <c r="A133" s="2" t="s">
        <v>465</v>
      </c>
      <c r="B133" s="2" t="s">
        <v>496</v>
      </c>
      <c r="C133" s="2">
        <v>4794507361</v>
      </c>
      <c r="D133" s="2" t="s">
        <v>277</v>
      </c>
      <c r="E133" s="2" t="s">
        <v>17</v>
      </c>
      <c r="F133" s="2" t="s">
        <v>60</v>
      </c>
      <c r="G133" s="8">
        <v>45999</v>
      </c>
      <c r="H133" s="2" t="s">
        <v>278</v>
      </c>
      <c r="I133" s="2" t="s">
        <v>279</v>
      </c>
      <c r="J133" s="8">
        <v>45999</v>
      </c>
      <c r="K133" s="8">
        <v>46001</v>
      </c>
      <c r="L133" s="2">
        <v>1237</v>
      </c>
      <c r="M133" s="2">
        <v>9905</v>
      </c>
      <c r="N133" s="7">
        <v>2386</v>
      </c>
      <c r="O133" s="2" t="s">
        <v>21</v>
      </c>
      <c r="P133" s="2" t="s">
        <v>78</v>
      </c>
      <c r="Q133" s="3">
        <f t="shared" si="2"/>
        <v>71.58</v>
      </c>
    </row>
    <row r="134" spans="1:17" x14ac:dyDescent="0.2">
      <c r="A134" s="2" t="s">
        <v>46</v>
      </c>
      <c r="B134" s="2" t="s">
        <v>467</v>
      </c>
      <c r="C134" s="2" t="s">
        <v>561</v>
      </c>
      <c r="D134" s="2" t="s">
        <v>597</v>
      </c>
      <c r="E134" s="2" t="s">
        <v>47</v>
      </c>
      <c r="F134" s="2" t="s">
        <v>48</v>
      </c>
      <c r="G134" s="8">
        <v>45999</v>
      </c>
      <c r="H134" s="2" t="s">
        <v>280</v>
      </c>
      <c r="I134" s="2" t="s">
        <v>281</v>
      </c>
      <c r="J134" s="8">
        <v>46000</v>
      </c>
      <c r="K134" s="8">
        <v>46000</v>
      </c>
      <c r="L134" s="2">
        <v>1238</v>
      </c>
      <c r="M134" s="2">
        <v>9906</v>
      </c>
      <c r="N134" s="7">
        <v>800</v>
      </c>
      <c r="O134" s="2" t="s">
        <v>21</v>
      </c>
      <c r="P134" s="2" t="s">
        <v>78</v>
      </c>
      <c r="Q134" s="3">
        <f t="shared" si="2"/>
        <v>24</v>
      </c>
    </row>
    <row r="135" spans="1:17" x14ac:dyDescent="0.2">
      <c r="A135" s="2" t="s">
        <v>465</v>
      </c>
      <c r="B135" s="2" t="s">
        <v>282</v>
      </c>
      <c r="C135" s="2">
        <v>8436992994</v>
      </c>
      <c r="D135" s="2">
        <v>1232841</v>
      </c>
      <c r="E135" s="2" t="s">
        <v>17</v>
      </c>
      <c r="F135" s="2" t="s">
        <v>112</v>
      </c>
      <c r="G135" s="8">
        <v>45999</v>
      </c>
      <c r="H135" s="2" t="s">
        <v>283</v>
      </c>
      <c r="I135" s="2" t="s">
        <v>284</v>
      </c>
      <c r="J135" s="8">
        <v>46000</v>
      </c>
      <c r="K135" s="8">
        <v>46002</v>
      </c>
      <c r="L135" s="2">
        <v>1239</v>
      </c>
      <c r="M135" s="2">
        <v>9907</v>
      </c>
      <c r="N135" s="7">
        <v>2400</v>
      </c>
      <c r="O135" s="2" t="s">
        <v>21</v>
      </c>
      <c r="P135" s="2" t="s">
        <v>78</v>
      </c>
      <c r="Q135" s="3">
        <f t="shared" si="2"/>
        <v>72</v>
      </c>
    </row>
    <row r="136" spans="1:17" x14ac:dyDescent="0.2">
      <c r="A136" s="2" t="s">
        <v>26</v>
      </c>
      <c r="B136" s="2" t="s">
        <v>285</v>
      </c>
      <c r="C136" s="2">
        <v>9044792920</v>
      </c>
      <c r="D136" s="2">
        <v>1768321</v>
      </c>
      <c r="E136" s="2" t="s">
        <v>33</v>
      </c>
      <c r="F136" s="2" t="s">
        <v>168</v>
      </c>
      <c r="G136" s="8">
        <v>46000</v>
      </c>
      <c r="H136" s="2" t="s">
        <v>286</v>
      </c>
      <c r="I136" s="2" t="s">
        <v>287</v>
      </c>
      <c r="J136" s="8">
        <v>46000</v>
      </c>
      <c r="K136" s="8">
        <v>46001</v>
      </c>
      <c r="L136" s="2">
        <v>1240</v>
      </c>
      <c r="M136" s="2">
        <v>9908</v>
      </c>
      <c r="N136" s="7">
        <v>1900</v>
      </c>
      <c r="O136" s="2" t="s">
        <v>21</v>
      </c>
      <c r="P136" s="2" t="s">
        <v>78</v>
      </c>
      <c r="Q136" s="3">
        <f t="shared" si="2"/>
        <v>57</v>
      </c>
    </row>
    <row r="137" spans="1:17" x14ac:dyDescent="0.2">
      <c r="A137" s="2" t="s">
        <v>26</v>
      </c>
      <c r="B137" s="2" t="s">
        <v>288</v>
      </c>
      <c r="C137" s="2">
        <v>7737331716</v>
      </c>
      <c r="D137" s="2">
        <v>10074436</v>
      </c>
      <c r="E137" s="2" t="s">
        <v>33</v>
      </c>
      <c r="F137" s="2" t="s">
        <v>27</v>
      </c>
      <c r="G137" s="8">
        <v>46000</v>
      </c>
      <c r="H137" s="2" t="s">
        <v>289</v>
      </c>
      <c r="I137" s="2" t="s">
        <v>290</v>
      </c>
      <c r="J137" s="8">
        <v>46000</v>
      </c>
      <c r="K137" s="8">
        <v>46003</v>
      </c>
      <c r="L137" s="2">
        <v>1241</v>
      </c>
      <c r="M137" s="2">
        <v>9909</v>
      </c>
      <c r="N137" s="7">
        <v>1800</v>
      </c>
      <c r="O137" s="2" t="s">
        <v>21</v>
      </c>
      <c r="P137" s="2" t="s">
        <v>22</v>
      </c>
      <c r="Q137" s="3">
        <f t="shared" si="2"/>
        <v>54</v>
      </c>
    </row>
    <row r="138" spans="1:17" x14ac:dyDescent="0.2">
      <c r="A138" s="2" t="s">
        <v>15</v>
      </c>
      <c r="B138" s="2" t="s">
        <v>469</v>
      </c>
      <c r="C138" s="2">
        <v>8006431128</v>
      </c>
      <c r="D138" s="2">
        <v>1977649</v>
      </c>
      <c r="E138" s="2" t="s">
        <v>17</v>
      </c>
      <c r="F138" s="2" t="s">
        <v>71</v>
      </c>
      <c r="G138" s="8">
        <v>46000</v>
      </c>
      <c r="H138" s="2" t="s">
        <v>72</v>
      </c>
      <c r="I138" s="2" t="s">
        <v>73</v>
      </c>
      <c r="J138" s="8">
        <v>46001</v>
      </c>
      <c r="K138" s="8">
        <v>46002</v>
      </c>
      <c r="L138" s="2">
        <v>1242</v>
      </c>
      <c r="M138" s="2">
        <v>9910</v>
      </c>
      <c r="N138" s="7">
        <v>1100</v>
      </c>
      <c r="O138" s="2" t="s">
        <v>21</v>
      </c>
      <c r="P138" s="2" t="s">
        <v>78</v>
      </c>
      <c r="Q138" s="3">
        <f t="shared" si="2"/>
        <v>33</v>
      </c>
    </row>
    <row r="139" spans="1:17" x14ac:dyDescent="0.2">
      <c r="A139" s="2" t="s">
        <v>466</v>
      </c>
      <c r="B139" s="2" t="s">
        <v>135</v>
      </c>
      <c r="C139" s="2">
        <v>9133359040</v>
      </c>
      <c r="D139" s="2">
        <v>5598830</v>
      </c>
      <c r="E139" s="2" t="s">
        <v>47</v>
      </c>
      <c r="F139" s="2" t="s">
        <v>88</v>
      </c>
      <c r="G139" s="8">
        <v>46001</v>
      </c>
      <c r="H139" s="2" t="s">
        <v>291</v>
      </c>
      <c r="I139" s="2" t="s">
        <v>292</v>
      </c>
      <c r="J139" s="8">
        <v>46001</v>
      </c>
      <c r="K139" s="8">
        <v>46002</v>
      </c>
      <c r="L139" s="2">
        <v>1243</v>
      </c>
      <c r="M139" s="2">
        <v>9911</v>
      </c>
      <c r="N139" s="7">
        <v>1300</v>
      </c>
      <c r="O139" s="2" t="s">
        <v>21</v>
      </c>
      <c r="P139" s="2" t="s">
        <v>22</v>
      </c>
      <c r="Q139" s="3">
        <f t="shared" si="2"/>
        <v>39</v>
      </c>
    </row>
    <row r="140" spans="1:17" x14ac:dyDescent="0.2">
      <c r="A140" s="2" t="s">
        <v>465</v>
      </c>
      <c r="B140" s="2" t="s">
        <v>285</v>
      </c>
      <c r="C140" s="2">
        <v>8442608315</v>
      </c>
      <c r="D140" s="2">
        <v>1763671</v>
      </c>
      <c r="E140" s="2" t="s">
        <v>17</v>
      </c>
      <c r="F140" s="2" t="s">
        <v>79</v>
      </c>
      <c r="G140" s="8">
        <v>46001</v>
      </c>
      <c r="H140" s="2" t="s">
        <v>293</v>
      </c>
      <c r="I140" s="2" t="s">
        <v>294</v>
      </c>
      <c r="J140" s="8">
        <v>46001</v>
      </c>
      <c r="K140" s="8">
        <v>46003</v>
      </c>
      <c r="L140" s="2">
        <v>1244</v>
      </c>
      <c r="M140" s="2">
        <v>9912</v>
      </c>
      <c r="N140" s="7">
        <v>1700</v>
      </c>
      <c r="O140" s="2" t="s">
        <v>21</v>
      </c>
      <c r="P140" s="2" t="s">
        <v>78</v>
      </c>
      <c r="Q140" s="3">
        <f t="shared" si="2"/>
        <v>51</v>
      </c>
    </row>
    <row r="141" spans="1:17" x14ac:dyDescent="0.2">
      <c r="A141" s="2" t="s">
        <v>465</v>
      </c>
      <c r="B141" s="2" t="s">
        <v>216</v>
      </c>
      <c r="C141" s="2">
        <v>8776937205</v>
      </c>
      <c r="D141" s="2">
        <v>1735751</v>
      </c>
      <c r="E141" s="2" t="s">
        <v>17</v>
      </c>
      <c r="F141" s="2" t="s">
        <v>112</v>
      </c>
      <c r="G141" s="8">
        <v>46001</v>
      </c>
      <c r="H141" s="2" t="s">
        <v>295</v>
      </c>
      <c r="I141" s="2" t="s">
        <v>296</v>
      </c>
      <c r="J141" s="8">
        <v>46002</v>
      </c>
      <c r="K141" s="8">
        <v>46003</v>
      </c>
      <c r="L141" s="2">
        <v>1245</v>
      </c>
      <c r="M141" s="2">
        <v>9913</v>
      </c>
      <c r="N141" s="7">
        <v>1000</v>
      </c>
      <c r="O141" s="2" t="s">
        <v>21</v>
      </c>
      <c r="P141" s="2" t="s">
        <v>78</v>
      </c>
      <c r="Q141" s="3">
        <f t="shared" si="2"/>
        <v>30</v>
      </c>
    </row>
    <row r="142" spans="1:17" x14ac:dyDescent="0.2">
      <c r="A142" s="2" t="s">
        <v>466</v>
      </c>
      <c r="B142" s="2" t="s">
        <v>467</v>
      </c>
      <c r="C142" s="2" t="s">
        <v>562</v>
      </c>
      <c r="D142" s="2">
        <v>34860697</v>
      </c>
      <c r="E142" s="2" t="s">
        <v>47</v>
      </c>
      <c r="F142" s="2" t="s">
        <v>88</v>
      </c>
      <c r="G142" s="8">
        <v>46002</v>
      </c>
      <c r="H142" s="2" t="s">
        <v>297</v>
      </c>
      <c r="I142" s="2" t="s">
        <v>298</v>
      </c>
      <c r="J142" s="8">
        <v>46002</v>
      </c>
      <c r="K142" s="8">
        <v>46003</v>
      </c>
      <c r="L142" s="2">
        <v>1246</v>
      </c>
      <c r="M142" s="2">
        <v>9914</v>
      </c>
      <c r="N142" s="7">
        <v>600</v>
      </c>
      <c r="O142" s="2" t="s">
        <v>21</v>
      </c>
      <c r="P142" s="2" t="s">
        <v>78</v>
      </c>
      <c r="Q142" s="3">
        <f t="shared" si="2"/>
        <v>18</v>
      </c>
    </row>
    <row r="143" spans="1:17" x14ac:dyDescent="0.2">
      <c r="A143" s="2" t="s">
        <v>26</v>
      </c>
      <c r="B143" s="2" t="s">
        <v>484</v>
      </c>
      <c r="C143" s="2">
        <v>2065358115</v>
      </c>
      <c r="D143" s="2">
        <v>8479541</v>
      </c>
      <c r="E143" s="2" t="s">
        <v>33</v>
      </c>
      <c r="F143" s="2" t="s">
        <v>27</v>
      </c>
      <c r="G143" s="8">
        <v>46002</v>
      </c>
      <c r="H143" s="2" t="s">
        <v>299</v>
      </c>
      <c r="I143" s="2" t="s">
        <v>300</v>
      </c>
      <c r="J143" s="8">
        <v>46003</v>
      </c>
      <c r="K143" s="8">
        <v>46007</v>
      </c>
      <c r="L143" s="2">
        <v>1247</v>
      </c>
      <c r="M143" s="2">
        <v>9915</v>
      </c>
      <c r="N143" s="7">
        <v>1200</v>
      </c>
      <c r="O143" s="2" t="s">
        <v>21</v>
      </c>
      <c r="P143" s="2" t="s">
        <v>78</v>
      </c>
      <c r="Q143" s="3">
        <f t="shared" si="2"/>
        <v>36</v>
      </c>
    </row>
    <row r="144" spans="1:17" x14ac:dyDescent="0.2">
      <c r="A144" s="2" t="s">
        <v>465</v>
      </c>
      <c r="B144" s="2" t="s">
        <v>41</v>
      </c>
      <c r="C144" s="2">
        <v>3074292837</v>
      </c>
      <c r="D144" s="2" t="s">
        <v>301</v>
      </c>
      <c r="E144" s="2" t="s">
        <v>17</v>
      </c>
      <c r="F144" s="2" t="s">
        <v>302</v>
      </c>
      <c r="G144" s="8">
        <v>46002</v>
      </c>
      <c r="H144" s="2" t="s">
        <v>303</v>
      </c>
      <c r="I144" s="2" t="s">
        <v>304</v>
      </c>
      <c r="J144" s="8">
        <v>46003</v>
      </c>
      <c r="K144" s="8">
        <v>46006</v>
      </c>
      <c r="L144" s="2">
        <v>1248</v>
      </c>
      <c r="M144" s="2">
        <v>9916</v>
      </c>
      <c r="N144" s="7">
        <v>3000</v>
      </c>
      <c r="O144" s="2" t="s">
        <v>21</v>
      </c>
      <c r="P144" s="2" t="s">
        <v>78</v>
      </c>
      <c r="Q144" s="3">
        <f t="shared" si="2"/>
        <v>90</v>
      </c>
    </row>
    <row r="145" spans="1:17" x14ac:dyDescent="0.2">
      <c r="A145" s="2" t="s">
        <v>465</v>
      </c>
      <c r="B145" s="2" t="s">
        <v>282</v>
      </c>
      <c r="C145" s="2">
        <v>8436992994</v>
      </c>
      <c r="D145" s="2">
        <v>1232683</v>
      </c>
      <c r="E145" s="2" t="s">
        <v>17</v>
      </c>
      <c r="F145" s="2" t="s">
        <v>112</v>
      </c>
      <c r="G145" s="8">
        <v>46002</v>
      </c>
      <c r="H145" s="2" t="s">
        <v>131</v>
      </c>
      <c r="I145" s="2" t="s">
        <v>305</v>
      </c>
      <c r="J145" s="8">
        <v>46003</v>
      </c>
      <c r="K145" s="8">
        <v>46006</v>
      </c>
      <c r="L145" s="2">
        <v>1249</v>
      </c>
      <c r="M145" s="2">
        <v>9917</v>
      </c>
      <c r="N145" s="7">
        <v>2950</v>
      </c>
      <c r="O145" s="2" t="s">
        <v>21</v>
      </c>
      <c r="P145" s="2" t="s">
        <v>78</v>
      </c>
      <c r="Q145" s="3">
        <f t="shared" si="2"/>
        <v>88.5</v>
      </c>
    </row>
    <row r="146" spans="1:17" x14ac:dyDescent="0.2">
      <c r="A146" s="2" t="s">
        <v>464</v>
      </c>
      <c r="B146" s="2" t="s">
        <v>476</v>
      </c>
      <c r="C146" s="2">
        <v>7168440222</v>
      </c>
      <c r="D146" s="2">
        <v>1494101</v>
      </c>
      <c r="E146" s="2" t="s">
        <v>17</v>
      </c>
      <c r="F146" s="2" t="s">
        <v>34</v>
      </c>
      <c r="G146" s="8">
        <v>46002</v>
      </c>
      <c r="H146" s="2" t="s">
        <v>306</v>
      </c>
      <c r="I146" s="2" t="s">
        <v>307</v>
      </c>
      <c r="J146" s="8">
        <v>46002</v>
      </c>
      <c r="K146" s="8">
        <v>46003</v>
      </c>
      <c r="L146" s="2">
        <v>1250</v>
      </c>
      <c r="M146" s="2">
        <v>9918</v>
      </c>
      <c r="N146" s="7">
        <v>832</v>
      </c>
      <c r="O146" s="2" t="s">
        <v>21</v>
      </c>
      <c r="P146" s="2" t="s">
        <v>78</v>
      </c>
      <c r="Q146" s="3">
        <f t="shared" si="2"/>
        <v>24.96</v>
      </c>
    </row>
    <row r="147" spans="1:17" x14ac:dyDescent="0.2">
      <c r="A147" s="2" t="s">
        <v>26</v>
      </c>
      <c r="B147" s="2" t="s">
        <v>467</v>
      </c>
      <c r="C147" s="2" t="s">
        <v>563</v>
      </c>
      <c r="D147" s="2">
        <v>34792908</v>
      </c>
      <c r="E147" s="2" t="s">
        <v>33</v>
      </c>
      <c r="F147" s="2" t="s">
        <v>27</v>
      </c>
      <c r="G147" s="8">
        <v>46002</v>
      </c>
      <c r="H147" s="2" t="s">
        <v>308</v>
      </c>
      <c r="I147" s="2" t="s">
        <v>131</v>
      </c>
      <c r="J147" s="8">
        <v>46003</v>
      </c>
      <c r="K147" s="8">
        <v>46006</v>
      </c>
      <c r="L147" s="2">
        <v>1251</v>
      </c>
      <c r="M147" s="2">
        <v>9919</v>
      </c>
      <c r="N147" s="7">
        <v>1800</v>
      </c>
      <c r="O147" s="2" t="s">
        <v>21</v>
      </c>
      <c r="P147" s="2" t="s">
        <v>22</v>
      </c>
      <c r="Q147" s="3">
        <f t="shared" si="2"/>
        <v>54</v>
      </c>
    </row>
    <row r="148" spans="1:17" x14ac:dyDescent="0.2">
      <c r="A148" s="2" t="s">
        <v>466</v>
      </c>
      <c r="B148" s="2" t="s">
        <v>467</v>
      </c>
      <c r="C148" s="2" t="s">
        <v>564</v>
      </c>
      <c r="D148" s="2">
        <v>34878443</v>
      </c>
      <c r="E148" s="2" t="s">
        <v>309</v>
      </c>
      <c r="F148" s="2" t="s">
        <v>88</v>
      </c>
      <c r="G148" s="8">
        <v>46003</v>
      </c>
      <c r="H148" s="2" t="s">
        <v>310</v>
      </c>
      <c r="I148" s="2" t="s">
        <v>311</v>
      </c>
      <c r="J148" s="8">
        <v>46003</v>
      </c>
      <c r="K148" s="8">
        <v>46003</v>
      </c>
      <c r="L148" s="2">
        <v>1252</v>
      </c>
      <c r="M148" s="2">
        <v>9920</v>
      </c>
      <c r="N148" s="7">
        <v>600</v>
      </c>
      <c r="O148" s="2" t="s">
        <v>21</v>
      </c>
      <c r="P148" s="2" t="s">
        <v>78</v>
      </c>
      <c r="Q148" s="3">
        <f t="shared" si="2"/>
        <v>18</v>
      </c>
    </row>
    <row r="149" spans="1:17" x14ac:dyDescent="0.2">
      <c r="A149" s="2" t="s">
        <v>464</v>
      </c>
      <c r="B149" s="2" t="s">
        <v>312</v>
      </c>
      <c r="C149" s="2" t="s">
        <v>565</v>
      </c>
      <c r="D149" s="2">
        <v>1115974</v>
      </c>
      <c r="E149" s="2" t="s">
        <v>33</v>
      </c>
      <c r="F149" s="2" t="s">
        <v>34</v>
      </c>
      <c r="G149" s="8">
        <v>46003</v>
      </c>
      <c r="H149" s="2" t="s">
        <v>313</v>
      </c>
      <c r="I149" s="2" t="s">
        <v>198</v>
      </c>
      <c r="J149" s="8">
        <v>46003</v>
      </c>
      <c r="K149" s="8">
        <v>46004</v>
      </c>
      <c r="L149" s="2">
        <v>1253</v>
      </c>
      <c r="M149" s="2">
        <v>9921</v>
      </c>
      <c r="N149" s="7">
        <v>650</v>
      </c>
      <c r="O149" s="2" t="s">
        <v>21</v>
      </c>
      <c r="P149" s="2" t="s">
        <v>78</v>
      </c>
      <c r="Q149" s="3">
        <f t="shared" si="2"/>
        <v>19.5</v>
      </c>
    </row>
    <row r="150" spans="1:17" x14ac:dyDescent="0.2">
      <c r="A150" s="2" t="s">
        <v>465</v>
      </c>
      <c r="B150" s="2" t="s">
        <v>500</v>
      </c>
      <c r="C150" s="2" t="s">
        <v>566</v>
      </c>
      <c r="D150" s="2">
        <v>16590974</v>
      </c>
      <c r="E150" s="2" t="s">
        <v>17</v>
      </c>
      <c r="F150" s="2" t="s">
        <v>177</v>
      </c>
      <c r="G150" s="8">
        <v>46003</v>
      </c>
      <c r="H150" s="2" t="s">
        <v>314</v>
      </c>
      <c r="I150" s="2" t="s">
        <v>315</v>
      </c>
      <c r="J150" s="8">
        <v>46006</v>
      </c>
      <c r="K150" s="8">
        <v>46009</v>
      </c>
      <c r="L150" s="2">
        <v>1254</v>
      </c>
      <c r="M150" s="2">
        <v>9922</v>
      </c>
      <c r="N150" s="7">
        <v>4800</v>
      </c>
      <c r="O150" s="2" t="s">
        <v>21</v>
      </c>
      <c r="P150" s="2" t="s">
        <v>78</v>
      </c>
      <c r="Q150" s="3">
        <f t="shared" si="2"/>
        <v>144</v>
      </c>
    </row>
    <row r="151" spans="1:17" x14ac:dyDescent="0.2">
      <c r="A151" s="2" t="s">
        <v>465</v>
      </c>
      <c r="B151" s="2" t="s">
        <v>467</v>
      </c>
      <c r="C151" s="2" t="s">
        <v>567</v>
      </c>
      <c r="D151" s="2">
        <v>34865490</v>
      </c>
      <c r="E151" s="2" t="s">
        <v>17</v>
      </c>
      <c r="F151" s="2" t="s">
        <v>106</v>
      </c>
      <c r="G151" s="8">
        <v>46003</v>
      </c>
      <c r="H151" s="2" t="s">
        <v>316</v>
      </c>
      <c r="I151" s="2" t="s">
        <v>317</v>
      </c>
      <c r="J151" s="8">
        <v>46004</v>
      </c>
      <c r="K151" s="8">
        <v>46005</v>
      </c>
      <c r="L151" s="2">
        <v>1255</v>
      </c>
      <c r="M151" s="2">
        <v>9923</v>
      </c>
      <c r="N151" s="7">
        <v>2200</v>
      </c>
      <c r="O151" s="2" t="s">
        <v>21</v>
      </c>
      <c r="P151" s="2" t="s">
        <v>78</v>
      </c>
      <c r="Q151" s="3">
        <f t="shared" si="2"/>
        <v>66</v>
      </c>
    </row>
    <row r="152" spans="1:17" x14ac:dyDescent="0.2">
      <c r="A152" s="2" t="s">
        <v>466</v>
      </c>
      <c r="B152" s="2" t="s">
        <v>135</v>
      </c>
      <c r="C152" s="2">
        <v>9136930588</v>
      </c>
      <c r="D152" s="2">
        <v>5609276</v>
      </c>
      <c r="E152" s="2" t="s">
        <v>33</v>
      </c>
      <c r="F152" s="2" t="s">
        <v>88</v>
      </c>
      <c r="G152" s="8">
        <v>46003</v>
      </c>
      <c r="H152" s="2" t="s">
        <v>318</v>
      </c>
      <c r="I152" s="2" t="s">
        <v>319</v>
      </c>
      <c r="J152" s="8">
        <v>46003</v>
      </c>
      <c r="K152" s="8">
        <v>46006</v>
      </c>
      <c r="L152" s="2">
        <v>1256</v>
      </c>
      <c r="M152" s="2">
        <v>9924</v>
      </c>
      <c r="N152" s="7">
        <v>1000</v>
      </c>
      <c r="O152" s="2" t="s">
        <v>21</v>
      </c>
      <c r="P152" s="2" t="s">
        <v>22</v>
      </c>
      <c r="Q152" s="3">
        <f t="shared" si="2"/>
        <v>30</v>
      </c>
    </row>
    <row r="153" spans="1:17" x14ac:dyDescent="0.2">
      <c r="A153" s="2" t="s">
        <v>465</v>
      </c>
      <c r="B153" s="2" t="s">
        <v>467</v>
      </c>
      <c r="C153" s="2" t="s">
        <v>568</v>
      </c>
      <c r="D153" s="2">
        <v>34885092</v>
      </c>
      <c r="E153" s="2" t="s">
        <v>17</v>
      </c>
      <c r="F153" s="2" t="s">
        <v>302</v>
      </c>
      <c r="G153" s="8">
        <v>46003</v>
      </c>
      <c r="H153" s="2" t="s">
        <v>320</v>
      </c>
      <c r="I153" s="2" t="s">
        <v>321</v>
      </c>
      <c r="J153" s="8">
        <v>46003</v>
      </c>
      <c r="K153" s="8">
        <v>46006</v>
      </c>
      <c r="L153" s="2">
        <v>1257</v>
      </c>
      <c r="M153" s="2">
        <v>9925</v>
      </c>
      <c r="N153" s="7">
        <v>2200</v>
      </c>
      <c r="O153" s="2" t="s">
        <v>594</v>
      </c>
      <c r="P153" s="2" t="s">
        <v>78</v>
      </c>
      <c r="Q153" s="3">
        <f t="shared" si="2"/>
        <v>66</v>
      </c>
    </row>
    <row r="154" spans="1:17" x14ac:dyDescent="0.2">
      <c r="A154" s="2" t="s">
        <v>465</v>
      </c>
      <c r="B154" s="2" t="s">
        <v>467</v>
      </c>
      <c r="C154" s="2" t="s">
        <v>544</v>
      </c>
      <c r="D154" s="2">
        <v>34881251</v>
      </c>
      <c r="E154" s="2" t="s">
        <v>17</v>
      </c>
      <c r="F154" s="2" t="s">
        <v>79</v>
      </c>
      <c r="G154" s="8">
        <v>46006</v>
      </c>
      <c r="H154" s="2" t="s">
        <v>322</v>
      </c>
      <c r="I154" s="2" t="s">
        <v>323</v>
      </c>
      <c r="J154" s="8">
        <v>46006</v>
      </c>
      <c r="K154" s="8">
        <v>46008</v>
      </c>
      <c r="L154" s="2">
        <v>1258</v>
      </c>
      <c r="M154" s="2">
        <v>9926</v>
      </c>
      <c r="N154" s="7">
        <v>1900</v>
      </c>
      <c r="O154" s="2" t="s">
        <v>21</v>
      </c>
      <c r="P154" s="2" t="s">
        <v>78</v>
      </c>
      <c r="Q154" s="3">
        <f t="shared" si="2"/>
        <v>57</v>
      </c>
    </row>
    <row r="155" spans="1:17" x14ac:dyDescent="0.2">
      <c r="A155" s="2" t="s">
        <v>466</v>
      </c>
      <c r="B155" s="2" t="s">
        <v>467</v>
      </c>
      <c r="C155" s="2" t="s">
        <v>569</v>
      </c>
      <c r="D155" s="2">
        <v>34906922</v>
      </c>
      <c r="E155" s="2" t="s">
        <v>47</v>
      </c>
      <c r="F155" s="2" t="s">
        <v>88</v>
      </c>
      <c r="G155" s="8">
        <v>46006</v>
      </c>
      <c r="H155" s="2" t="s">
        <v>324</v>
      </c>
      <c r="I155" s="2" t="s">
        <v>325</v>
      </c>
      <c r="J155" s="8">
        <v>46006</v>
      </c>
      <c r="K155" s="8">
        <v>46007</v>
      </c>
      <c r="L155" s="2">
        <v>1259</v>
      </c>
      <c r="M155" s="2">
        <v>9927</v>
      </c>
      <c r="N155" s="7">
        <v>900</v>
      </c>
      <c r="O155" s="2" t="s">
        <v>21</v>
      </c>
      <c r="P155" s="2" t="s">
        <v>78</v>
      </c>
      <c r="Q155" s="3">
        <f t="shared" si="2"/>
        <v>27</v>
      </c>
    </row>
    <row r="156" spans="1:17" x14ac:dyDescent="0.2">
      <c r="A156" s="2" t="s">
        <v>46</v>
      </c>
      <c r="B156" s="2" t="s">
        <v>467</v>
      </c>
      <c r="C156" s="2" t="s">
        <v>597</v>
      </c>
      <c r="D156" s="2" t="s">
        <v>597</v>
      </c>
      <c r="E156" s="2" t="s">
        <v>47</v>
      </c>
      <c r="F156" s="2" t="s">
        <v>48</v>
      </c>
      <c r="G156" s="8">
        <v>46006</v>
      </c>
      <c r="H156" s="2" t="s">
        <v>326</v>
      </c>
      <c r="I156" s="2" t="s">
        <v>327</v>
      </c>
      <c r="J156" s="8">
        <v>46006</v>
      </c>
      <c r="K156" s="8">
        <v>46007</v>
      </c>
      <c r="L156" s="2">
        <v>1260</v>
      </c>
      <c r="M156" s="2">
        <v>9928</v>
      </c>
      <c r="N156" s="7">
        <v>1400</v>
      </c>
      <c r="O156" s="2" t="s">
        <v>21</v>
      </c>
      <c r="P156" s="2" t="s">
        <v>78</v>
      </c>
      <c r="Q156" s="3">
        <f t="shared" si="2"/>
        <v>42</v>
      </c>
    </row>
    <row r="157" spans="1:17" x14ac:dyDescent="0.2">
      <c r="A157" s="2" t="s">
        <v>15</v>
      </c>
      <c r="B157" s="2" t="s">
        <v>257</v>
      </c>
      <c r="C157" s="2">
        <v>8552912226</v>
      </c>
      <c r="D157" s="2" t="s">
        <v>328</v>
      </c>
      <c r="E157" s="2" t="s">
        <v>33</v>
      </c>
      <c r="F157" s="2" t="s">
        <v>52</v>
      </c>
      <c r="G157" s="8">
        <v>46006</v>
      </c>
      <c r="H157" s="2" t="s">
        <v>103</v>
      </c>
      <c r="I157" s="2" t="s">
        <v>329</v>
      </c>
      <c r="J157" s="8">
        <v>46006</v>
      </c>
      <c r="K157" s="8">
        <v>46007</v>
      </c>
      <c r="L157" s="2">
        <v>1261</v>
      </c>
      <c r="M157" s="2">
        <v>9929</v>
      </c>
      <c r="N157" s="7">
        <v>2000</v>
      </c>
      <c r="O157" s="2" t="s">
        <v>21</v>
      </c>
      <c r="P157" s="2" t="s">
        <v>22</v>
      </c>
      <c r="Q157" s="3">
        <f t="shared" si="2"/>
        <v>60</v>
      </c>
    </row>
    <row r="158" spans="1:17" x14ac:dyDescent="0.2">
      <c r="A158" s="2" t="s">
        <v>464</v>
      </c>
      <c r="B158" s="2" t="s">
        <v>330</v>
      </c>
      <c r="C158" s="2" t="s">
        <v>570</v>
      </c>
      <c r="D158" s="2">
        <v>60999</v>
      </c>
      <c r="E158" s="2" t="s">
        <v>33</v>
      </c>
      <c r="F158" s="2" t="s">
        <v>34</v>
      </c>
      <c r="G158" s="8">
        <v>46006</v>
      </c>
      <c r="H158" s="2" t="s">
        <v>331</v>
      </c>
      <c r="I158" s="2" t="s">
        <v>332</v>
      </c>
      <c r="J158" s="8">
        <v>46006</v>
      </c>
      <c r="K158" s="8">
        <v>46008</v>
      </c>
      <c r="L158" s="2">
        <v>1262</v>
      </c>
      <c r="M158" s="2">
        <v>9930</v>
      </c>
      <c r="N158" s="7">
        <v>3900</v>
      </c>
      <c r="O158" s="2" t="s">
        <v>21</v>
      </c>
      <c r="P158" s="2" t="s">
        <v>22</v>
      </c>
      <c r="Q158" s="3">
        <f t="shared" si="2"/>
        <v>117</v>
      </c>
    </row>
    <row r="159" spans="1:17" x14ac:dyDescent="0.2">
      <c r="A159" s="2" t="s">
        <v>15</v>
      </c>
      <c r="B159" s="2" t="s">
        <v>333</v>
      </c>
      <c r="C159" s="2">
        <v>9197285760</v>
      </c>
      <c r="D159" s="2">
        <v>228343</v>
      </c>
      <c r="E159" s="2" t="s">
        <v>33</v>
      </c>
      <c r="F159" s="2" t="s">
        <v>52</v>
      </c>
      <c r="G159" s="8">
        <v>46006</v>
      </c>
      <c r="H159" s="2" t="s">
        <v>334</v>
      </c>
      <c r="I159" s="2" t="s">
        <v>335</v>
      </c>
      <c r="J159" s="8">
        <v>46007</v>
      </c>
      <c r="K159" s="8">
        <v>46008</v>
      </c>
      <c r="L159" s="2">
        <v>1263</v>
      </c>
      <c r="M159" s="2">
        <v>9931</v>
      </c>
      <c r="N159" s="7">
        <v>1200</v>
      </c>
      <c r="O159" s="2" t="s">
        <v>21</v>
      </c>
      <c r="P159" s="2" t="s">
        <v>22</v>
      </c>
      <c r="Q159" s="3">
        <f t="shared" si="2"/>
        <v>36</v>
      </c>
    </row>
    <row r="160" spans="1:17" x14ac:dyDescent="0.2">
      <c r="A160" s="2" t="s">
        <v>15</v>
      </c>
      <c r="B160" s="2" t="s">
        <v>467</v>
      </c>
      <c r="C160" s="2" t="s">
        <v>571</v>
      </c>
      <c r="D160" s="2">
        <v>34929352</v>
      </c>
      <c r="E160" s="2" t="s">
        <v>17</v>
      </c>
      <c r="F160" s="2" t="s">
        <v>336</v>
      </c>
      <c r="G160" s="8">
        <v>46007</v>
      </c>
      <c r="H160" s="2" t="s">
        <v>337</v>
      </c>
      <c r="I160" s="2" t="s">
        <v>337</v>
      </c>
      <c r="J160" s="8">
        <v>46008</v>
      </c>
      <c r="K160" s="8">
        <v>46011</v>
      </c>
      <c r="L160" s="2">
        <v>1264</v>
      </c>
      <c r="M160" s="2">
        <v>9932</v>
      </c>
      <c r="N160" s="7">
        <v>2900</v>
      </c>
      <c r="O160" s="2" t="s">
        <v>21</v>
      </c>
      <c r="P160" s="2" t="s">
        <v>78</v>
      </c>
      <c r="Q160" s="3">
        <f t="shared" si="2"/>
        <v>87</v>
      </c>
    </row>
    <row r="161" spans="1:17" x14ac:dyDescent="0.2">
      <c r="A161" s="2" t="s">
        <v>15</v>
      </c>
      <c r="B161" s="2" t="s">
        <v>501</v>
      </c>
      <c r="C161" s="2" t="s">
        <v>572</v>
      </c>
      <c r="D161" s="2">
        <v>40940</v>
      </c>
      <c r="E161" s="2" t="s">
        <v>17</v>
      </c>
      <c r="F161" s="2" t="s">
        <v>52</v>
      </c>
      <c r="G161" s="8">
        <v>46007</v>
      </c>
      <c r="H161" s="2" t="s">
        <v>338</v>
      </c>
      <c r="I161" s="2" t="s">
        <v>339</v>
      </c>
      <c r="J161" s="8">
        <v>46008</v>
      </c>
      <c r="K161" s="8">
        <v>46009</v>
      </c>
      <c r="L161" s="2">
        <v>1350</v>
      </c>
      <c r="M161" s="2">
        <v>9933</v>
      </c>
      <c r="N161" s="7">
        <v>1150</v>
      </c>
      <c r="O161" s="2" t="s">
        <v>21</v>
      </c>
      <c r="P161" s="2" t="s">
        <v>78</v>
      </c>
      <c r="Q161" s="3">
        <f t="shared" si="2"/>
        <v>34.5</v>
      </c>
    </row>
    <row r="162" spans="1:17" x14ac:dyDescent="0.2">
      <c r="A162" s="2" t="s">
        <v>15</v>
      </c>
      <c r="B162" s="2" t="s">
        <v>502</v>
      </c>
      <c r="C162" s="2" t="s">
        <v>573</v>
      </c>
      <c r="D162" s="2">
        <v>3625545</v>
      </c>
      <c r="E162" s="2" t="s">
        <v>17</v>
      </c>
      <c r="F162" s="2" t="s">
        <v>336</v>
      </c>
      <c r="G162" s="8">
        <v>46007</v>
      </c>
      <c r="H162" s="2" t="s">
        <v>340</v>
      </c>
      <c r="I162" s="2" t="s">
        <v>341</v>
      </c>
      <c r="J162" s="8">
        <v>46007</v>
      </c>
      <c r="K162" s="8">
        <v>46008</v>
      </c>
      <c r="L162" s="2">
        <v>1351</v>
      </c>
      <c r="M162" s="2">
        <v>9934</v>
      </c>
      <c r="N162" s="7">
        <v>1900</v>
      </c>
      <c r="O162" s="2" t="s">
        <v>21</v>
      </c>
      <c r="P162" s="2" t="s">
        <v>22</v>
      </c>
      <c r="Q162" s="3">
        <f t="shared" si="2"/>
        <v>57</v>
      </c>
    </row>
    <row r="163" spans="1:17" x14ac:dyDescent="0.2">
      <c r="A163" s="2" t="s">
        <v>26</v>
      </c>
      <c r="B163" s="2" t="s">
        <v>342</v>
      </c>
      <c r="C163" s="2">
        <v>9163060609</v>
      </c>
      <c r="D163" s="2" t="s">
        <v>343</v>
      </c>
      <c r="E163" s="2" t="s">
        <v>33</v>
      </c>
      <c r="F163" s="2" t="s">
        <v>27</v>
      </c>
      <c r="G163" s="8">
        <v>46007</v>
      </c>
      <c r="H163" s="2" t="s">
        <v>77</v>
      </c>
      <c r="I163" s="2" t="s">
        <v>344</v>
      </c>
      <c r="J163" s="8">
        <v>46008</v>
      </c>
      <c r="K163" s="8">
        <v>46010</v>
      </c>
      <c r="L163" s="2">
        <v>1352</v>
      </c>
      <c r="M163" s="2">
        <v>9935</v>
      </c>
      <c r="N163" s="7">
        <v>2000</v>
      </c>
      <c r="O163" s="2" t="s">
        <v>21</v>
      </c>
      <c r="P163" s="2" t="s">
        <v>22</v>
      </c>
      <c r="Q163" s="3">
        <f t="shared" si="2"/>
        <v>60</v>
      </c>
    </row>
    <row r="164" spans="1:17" x14ac:dyDescent="0.2">
      <c r="A164" s="2" t="s">
        <v>46</v>
      </c>
      <c r="B164" s="2" t="s">
        <v>467</v>
      </c>
      <c r="C164" s="2" t="s">
        <v>597</v>
      </c>
      <c r="D164" s="2" t="s">
        <v>597</v>
      </c>
      <c r="E164" s="2" t="s">
        <v>47</v>
      </c>
      <c r="F164" s="2" t="s">
        <v>48</v>
      </c>
      <c r="G164" s="8">
        <v>46007</v>
      </c>
      <c r="H164" s="2" t="s">
        <v>263</v>
      </c>
      <c r="I164" s="2" t="s">
        <v>345</v>
      </c>
      <c r="J164" s="8">
        <v>46007</v>
      </c>
      <c r="K164" s="8">
        <v>46008</v>
      </c>
      <c r="L164" s="2">
        <v>1353</v>
      </c>
      <c r="M164" s="2">
        <v>9936</v>
      </c>
      <c r="N164" s="7">
        <v>1200</v>
      </c>
      <c r="O164" s="2" t="s">
        <v>21</v>
      </c>
      <c r="P164" s="2" t="s">
        <v>78</v>
      </c>
      <c r="Q164" s="3">
        <f t="shared" si="2"/>
        <v>36</v>
      </c>
    </row>
    <row r="165" spans="1:17" x14ac:dyDescent="0.2">
      <c r="A165" s="2" t="s">
        <v>466</v>
      </c>
      <c r="B165" s="2" t="s">
        <v>467</v>
      </c>
      <c r="C165" s="2" t="s">
        <v>574</v>
      </c>
      <c r="D165" s="2">
        <v>34930854</v>
      </c>
      <c r="E165" s="2" t="s">
        <v>47</v>
      </c>
      <c r="F165" s="2" t="s">
        <v>88</v>
      </c>
      <c r="G165" s="8">
        <v>46008</v>
      </c>
      <c r="H165" s="2" t="s">
        <v>346</v>
      </c>
      <c r="I165" s="2" t="s">
        <v>347</v>
      </c>
      <c r="J165" s="8">
        <v>46008</v>
      </c>
      <c r="K165" s="8">
        <v>46009</v>
      </c>
      <c r="L165" s="2">
        <v>1354</v>
      </c>
      <c r="M165" s="2">
        <v>9937</v>
      </c>
      <c r="N165" s="7">
        <v>800</v>
      </c>
      <c r="O165" s="2" t="s">
        <v>21</v>
      </c>
      <c r="P165" s="2" t="s">
        <v>78</v>
      </c>
      <c r="Q165" s="3">
        <f t="shared" si="2"/>
        <v>24</v>
      </c>
    </row>
    <row r="166" spans="1:17" x14ac:dyDescent="0.2">
      <c r="A166" s="2" t="s">
        <v>466</v>
      </c>
      <c r="B166" s="2" t="s">
        <v>330</v>
      </c>
      <c r="C166" s="2" t="s">
        <v>575</v>
      </c>
      <c r="D166" s="2">
        <v>5619357</v>
      </c>
      <c r="E166" s="2" t="s">
        <v>47</v>
      </c>
      <c r="F166" s="2" t="s">
        <v>88</v>
      </c>
      <c r="G166" s="8">
        <v>46008</v>
      </c>
      <c r="H166" s="2" t="s">
        <v>348</v>
      </c>
      <c r="I166" s="2" t="s">
        <v>349</v>
      </c>
      <c r="J166" s="8">
        <v>46008</v>
      </c>
      <c r="K166" s="8">
        <v>46009</v>
      </c>
      <c r="L166" s="2">
        <v>1355</v>
      </c>
      <c r="M166" s="2">
        <v>9938</v>
      </c>
      <c r="N166" s="7">
        <v>650</v>
      </c>
      <c r="O166" s="2" t="s">
        <v>21</v>
      </c>
      <c r="P166" s="2" t="s">
        <v>21</v>
      </c>
      <c r="Q166" s="3">
        <f t="shared" si="2"/>
        <v>19.5</v>
      </c>
    </row>
    <row r="167" spans="1:17" x14ac:dyDescent="0.2">
      <c r="A167" s="2" t="s">
        <v>465</v>
      </c>
      <c r="B167" s="2" t="s">
        <v>503</v>
      </c>
      <c r="C167" s="2">
        <v>8887958842</v>
      </c>
      <c r="D167" s="2">
        <v>746688</v>
      </c>
      <c r="E167" s="2" t="s">
        <v>17</v>
      </c>
      <c r="F167" s="2" t="s">
        <v>112</v>
      </c>
      <c r="G167" s="8">
        <v>46008</v>
      </c>
      <c r="H167" s="2" t="s">
        <v>295</v>
      </c>
      <c r="I167" s="2" t="s">
        <v>350</v>
      </c>
      <c r="J167" s="8">
        <v>46009</v>
      </c>
      <c r="K167" s="8">
        <v>46010</v>
      </c>
      <c r="L167" s="2">
        <v>1356</v>
      </c>
      <c r="M167" s="2">
        <v>9939</v>
      </c>
      <c r="N167" s="7">
        <v>1450</v>
      </c>
      <c r="O167" s="2" t="s">
        <v>21</v>
      </c>
      <c r="P167" s="2" t="s">
        <v>78</v>
      </c>
      <c r="Q167" s="3">
        <f t="shared" si="2"/>
        <v>43.5</v>
      </c>
    </row>
    <row r="168" spans="1:17" x14ac:dyDescent="0.2">
      <c r="A168" s="2" t="s">
        <v>465</v>
      </c>
      <c r="B168" s="2" t="s">
        <v>351</v>
      </c>
      <c r="C168" s="2" t="s">
        <v>576</v>
      </c>
      <c r="D168" s="2">
        <v>819845</v>
      </c>
      <c r="E168" s="2" t="s">
        <v>17</v>
      </c>
      <c r="F168" s="2" t="s">
        <v>43</v>
      </c>
      <c r="G168" s="8">
        <v>46008</v>
      </c>
      <c r="H168" s="2" t="s">
        <v>352</v>
      </c>
      <c r="I168" s="2" t="s">
        <v>353</v>
      </c>
      <c r="J168" s="8">
        <v>46010</v>
      </c>
      <c r="K168" s="8">
        <v>46013</v>
      </c>
      <c r="L168" s="2">
        <v>1357</v>
      </c>
      <c r="M168" s="2">
        <v>9940</v>
      </c>
      <c r="N168" s="7">
        <v>2200</v>
      </c>
      <c r="O168" s="2" t="s">
        <v>354</v>
      </c>
      <c r="P168" s="2" t="s">
        <v>78</v>
      </c>
      <c r="Q168" s="3">
        <f t="shared" si="2"/>
        <v>66</v>
      </c>
    </row>
    <row r="169" spans="1:17" x14ac:dyDescent="0.2">
      <c r="A169" s="2" t="s">
        <v>15</v>
      </c>
      <c r="B169" s="2" t="s">
        <v>502</v>
      </c>
      <c r="C169" s="2">
        <v>9044930531</v>
      </c>
      <c r="D169" s="2">
        <v>2892973</v>
      </c>
      <c r="E169" s="2" t="s">
        <v>17</v>
      </c>
      <c r="F169" s="2" t="s">
        <v>52</v>
      </c>
      <c r="G169" s="8">
        <v>46008</v>
      </c>
      <c r="H169" s="2" t="s">
        <v>355</v>
      </c>
      <c r="I169" s="2" t="s">
        <v>356</v>
      </c>
      <c r="J169" s="8">
        <v>46009</v>
      </c>
      <c r="K169" s="8">
        <v>46010</v>
      </c>
      <c r="L169" s="2">
        <v>1358</v>
      </c>
      <c r="M169" s="2">
        <v>9941</v>
      </c>
      <c r="N169" s="7">
        <v>2150</v>
      </c>
      <c r="O169" s="2" t="s">
        <v>21</v>
      </c>
      <c r="P169" s="2" t="s">
        <v>78</v>
      </c>
      <c r="Q169" s="3">
        <f t="shared" si="2"/>
        <v>64.5</v>
      </c>
    </row>
    <row r="170" spans="1:17" x14ac:dyDescent="0.2">
      <c r="A170" s="2" t="s">
        <v>46</v>
      </c>
      <c r="B170" s="2" t="s">
        <v>357</v>
      </c>
      <c r="C170" s="2">
        <v>9049905500</v>
      </c>
      <c r="D170" s="2" t="s">
        <v>597</v>
      </c>
      <c r="E170" s="2" t="s">
        <v>47</v>
      </c>
      <c r="F170" s="2" t="s">
        <v>48</v>
      </c>
      <c r="G170" s="8">
        <v>46009</v>
      </c>
      <c r="H170" s="2" t="s">
        <v>358</v>
      </c>
      <c r="I170" s="2" t="s">
        <v>359</v>
      </c>
      <c r="J170" s="8">
        <v>46010</v>
      </c>
      <c r="K170" s="8">
        <v>46013</v>
      </c>
      <c r="L170" s="2">
        <v>1359</v>
      </c>
      <c r="M170" s="2">
        <v>9942</v>
      </c>
      <c r="N170" s="7">
        <v>1150</v>
      </c>
      <c r="O170" s="2" t="s">
        <v>21</v>
      </c>
      <c r="P170" s="2" t="s">
        <v>78</v>
      </c>
      <c r="Q170" s="3">
        <f t="shared" si="2"/>
        <v>34.5</v>
      </c>
    </row>
    <row r="171" spans="1:17" x14ac:dyDescent="0.2">
      <c r="A171" s="2" t="s">
        <v>466</v>
      </c>
      <c r="B171" s="2" t="s">
        <v>330</v>
      </c>
      <c r="C171" s="2">
        <v>9135535443</v>
      </c>
      <c r="D171" s="2">
        <v>5623253</v>
      </c>
      <c r="E171" s="2" t="s">
        <v>47</v>
      </c>
      <c r="F171" s="2" t="s">
        <v>88</v>
      </c>
      <c r="G171" s="8">
        <v>46009</v>
      </c>
      <c r="H171" s="2" t="s">
        <v>360</v>
      </c>
      <c r="I171" s="2" t="s">
        <v>361</v>
      </c>
      <c r="J171" s="8">
        <v>46009</v>
      </c>
      <c r="K171" s="8">
        <v>46009</v>
      </c>
      <c r="L171" s="2">
        <v>1360</v>
      </c>
      <c r="M171" s="2">
        <v>9943</v>
      </c>
      <c r="N171" s="7">
        <v>800</v>
      </c>
      <c r="O171" s="2" t="s">
        <v>21</v>
      </c>
      <c r="P171" s="2" t="s">
        <v>21</v>
      </c>
      <c r="Q171" s="3">
        <f t="shared" si="2"/>
        <v>24</v>
      </c>
    </row>
    <row r="172" spans="1:17" x14ac:dyDescent="0.2">
      <c r="A172" s="2" t="s">
        <v>26</v>
      </c>
      <c r="B172" s="2" t="s">
        <v>504</v>
      </c>
      <c r="C172" s="2">
        <v>8777708844</v>
      </c>
      <c r="D172" s="2">
        <v>656040</v>
      </c>
      <c r="E172" s="2" t="s">
        <v>33</v>
      </c>
      <c r="F172" s="2" t="s">
        <v>27</v>
      </c>
      <c r="G172" s="8">
        <v>46008</v>
      </c>
      <c r="H172" s="2" t="s">
        <v>362</v>
      </c>
      <c r="I172" s="2" t="s">
        <v>363</v>
      </c>
      <c r="J172" s="8">
        <v>46008</v>
      </c>
      <c r="K172" s="8">
        <v>46009</v>
      </c>
      <c r="L172" s="2">
        <v>1361</v>
      </c>
      <c r="M172" s="2">
        <v>6666</v>
      </c>
      <c r="N172" s="7">
        <v>830</v>
      </c>
      <c r="O172" s="2" t="s">
        <v>21</v>
      </c>
      <c r="P172" s="2" t="s">
        <v>21</v>
      </c>
      <c r="Q172" s="3">
        <f t="shared" si="2"/>
        <v>24.9</v>
      </c>
    </row>
    <row r="173" spans="1:17" x14ac:dyDescent="0.2">
      <c r="A173" s="2" t="s">
        <v>464</v>
      </c>
      <c r="B173" s="2" t="s">
        <v>505</v>
      </c>
      <c r="C173" s="2">
        <v>5137777100</v>
      </c>
      <c r="D173" s="2">
        <v>1018453</v>
      </c>
      <c r="E173" s="2" t="s">
        <v>33</v>
      </c>
      <c r="F173" s="2" t="s">
        <v>34</v>
      </c>
      <c r="G173" s="8">
        <v>46008</v>
      </c>
      <c r="H173" s="2" t="s">
        <v>77</v>
      </c>
      <c r="I173" s="2" t="s">
        <v>35</v>
      </c>
      <c r="J173" s="8">
        <v>46009</v>
      </c>
      <c r="K173" s="8">
        <v>46010</v>
      </c>
      <c r="L173" s="2">
        <v>1362</v>
      </c>
      <c r="M173" s="2">
        <v>6667</v>
      </c>
      <c r="N173" s="7">
        <v>900</v>
      </c>
      <c r="O173" s="2" t="s">
        <v>21</v>
      </c>
      <c r="P173" s="2" t="s">
        <v>78</v>
      </c>
      <c r="Q173" s="3">
        <f t="shared" si="2"/>
        <v>27</v>
      </c>
    </row>
    <row r="174" spans="1:17" x14ac:dyDescent="0.2">
      <c r="A174" s="2" t="s">
        <v>465</v>
      </c>
      <c r="B174" s="2" t="s">
        <v>506</v>
      </c>
      <c r="C174" s="2">
        <v>8167462812</v>
      </c>
      <c r="D174" s="2" t="s">
        <v>364</v>
      </c>
      <c r="E174" s="2" t="s">
        <v>17</v>
      </c>
      <c r="F174" s="2" t="s">
        <v>112</v>
      </c>
      <c r="G174" s="8">
        <v>46010</v>
      </c>
      <c r="H174" s="2" t="s">
        <v>365</v>
      </c>
      <c r="I174" s="2" t="s">
        <v>366</v>
      </c>
      <c r="J174" s="8">
        <v>46013</v>
      </c>
      <c r="K174" s="8">
        <v>46014</v>
      </c>
      <c r="L174" s="2">
        <v>2550</v>
      </c>
      <c r="M174" s="2">
        <v>6668</v>
      </c>
      <c r="N174" s="7">
        <v>1650</v>
      </c>
      <c r="O174" s="2" t="s">
        <v>21</v>
      </c>
      <c r="P174" s="2" t="s">
        <v>78</v>
      </c>
      <c r="Q174" s="3">
        <f t="shared" si="2"/>
        <v>49.5</v>
      </c>
    </row>
    <row r="175" spans="1:17" x14ac:dyDescent="0.2">
      <c r="A175" s="2" t="s">
        <v>15</v>
      </c>
      <c r="B175" s="2" t="s">
        <v>507</v>
      </c>
      <c r="C175" s="2">
        <v>3147567920</v>
      </c>
      <c r="D175" s="2">
        <v>6278026</v>
      </c>
      <c r="E175" s="2" t="s">
        <v>17</v>
      </c>
      <c r="F175" s="2" t="s">
        <v>52</v>
      </c>
      <c r="G175" s="8">
        <v>46010</v>
      </c>
      <c r="H175" s="2" t="s">
        <v>367</v>
      </c>
      <c r="I175" s="2" t="s">
        <v>368</v>
      </c>
      <c r="J175" s="8">
        <v>46010</v>
      </c>
      <c r="K175" s="8">
        <v>46010</v>
      </c>
      <c r="L175" s="2">
        <v>2551</v>
      </c>
      <c r="M175" s="2">
        <v>6669</v>
      </c>
      <c r="N175" s="7">
        <v>1500</v>
      </c>
      <c r="O175" s="2" t="s">
        <v>21</v>
      </c>
      <c r="P175" s="2" t="s">
        <v>78</v>
      </c>
      <c r="Q175" s="3">
        <f t="shared" si="2"/>
        <v>45</v>
      </c>
    </row>
    <row r="176" spans="1:17" x14ac:dyDescent="0.2">
      <c r="A176" s="2" t="s">
        <v>464</v>
      </c>
      <c r="B176" s="2" t="s">
        <v>369</v>
      </c>
      <c r="C176" s="2" t="s">
        <v>577</v>
      </c>
      <c r="D176" s="2">
        <v>2434614</v>
      </c>
      <c r="E176" s="2" t="s">
        <v>33</v>
      </c>
      <c r="F176" s="2" t="s">
        <v>34</v>
      </c>
      <c r="G176" s="8">
        <v>46010</v>
      </c>
      <c r="H176" s="2" t="s">
        <v>35</v>
      </c>
      <c r="I176" s="2" t="s">
        <v>370</v>
      </c>
      <c r="J176" s="8">
        <v>46010</v>
      </c>
      <c r="K176" s="8">
        <v>46014</v>
      </c>
      <c r="L176" s="2">
        <v>2552</v>
      </c>
      <c r="M176" s="2">
        <v>6670</v>
      </c>
      <c r="N176" s="7">
        <v>3350</v>
      </c>
      <c r="O176" s="2" t="s">
        <v>354</v>
      </c>
      <c r="P176" s="2" t="s">
        <v>78</v>
      </c>
      <c r="Q176" s="3">
        <f t="shared" si="2"/>
        <v>100.5</v>
      </c>
    </row>
    <row r="177" spans="1:17" x14ac:dyDescent="0.2">
      <c r="A177" s="2" t="s">
        <v>466</v>
      </c>
      <c r="B177" s="2" t="s">
        <v>330</v>
      </c>
      <c r="C177" s="2">
        <v>9139345075</v>
      </c>
      <c r="D177" s="2">
        <v>5624296</v>
      </c>
      <c r="E177" s="2" t="s">
        <v>47</v>
      </c>
      <c r="F177" s="2" t="s">
        <v>88</v>
      </c>
      <c r="G177" s="8">
        <v>46010</v>
      </c>
      <c r="H177" s="2" t="s">
        <v>371</v>
      </c>
      <c r="I177" s="2" t="s">
        <v>372</v>
      </c>
      <c r="J177" s="8">
        <v>46010</v>
      </c>
      <c r="K177" s="8">
        <v>46013</v>
      </c>
      <c r="L177" s="2">
        <v>2553</v>
      </c>
      <c r="M177" s="2">
        <v>6671</v>
      </c>
      <c r="N177" s="7">
        <v>1850</v>
      </c>
      <c r="O177" s="2" t="s">
        <v>21</v>
      </c>
      <c r="P177" s="2" t="s">
        <v>21</v>
      </c>
      <c r="Q177" s="3">
        <f t="shared" si="2"/>
        <v>55.5</v>
      </c>
    </row>
    <row r="178" spans="1:17" x14ac:dyDescent="0.2">
      <c r="A178" s="2" t="s">
        <v>26</v>
      </c>
      <c r="B178" s="2" t="s">
        <v>373</v>
      </c>
      <c r="C178" s="2">
        <v>9047467984</v>
      </c>
      <c r="D178" s="2">
        <v>2156140</v>
      </c>
      <c r="E178" s="2" t="s">
        <v>33</v>
      </c>
      <c r="F178" s="2" t="s">
        <v>27</v>
      </c>
      <c r="G178" s="8">
        <v>46010</v>
      </c>
      <c r="H178" s="2" t="s">
        <v>374</v>
      </c>
      <c r="I178" s="2" t="s">
        <v>375</v>
      </c>
      <c r="J178" s="8">
        <v>46010</v>
      </c>
      <c r="K178" s="8">
        <v>46013</v>
      </c>
      <c r="L178" s="2">
        <v>2554</v>
      </c>
      <c r="M178" s="2">
        <v>6672</v>
      </c>
      <c r="N178" s="7">
        <v>2500</v>
      </c>
      <c r="O178" s="2" t="s">
        <v>21</v>
      </c>
      <c r="P178" s="2" t="s">
        <v>21</v>
      </c>
      <c r="Q178" s="3">
        <f t="shared" si="2"/>
        <v>75</v>
      </c>
    </row>
    <row r="179" spans="1:17" x14ac:dyDescent="0.2">
      <c r="A179" s="2" t="s">
        <v>26</v>
      </c>
      <c r="B179" s="2" t="s">
        <v>369</v>
      </c>
      <c r="C179" s="2" t="s">
        <v>578</v>
      </c>
      <c r="D179" s="2">
        <v>2435692</v>
      </c>
      <c r="E179" s="2" t="s">
        <v>33</v>
      </c>
      <c r="F179" s="2" t="s">
        <v>37</v>
      </c>
      <c r="G179" s="8">
        <v>46010</v>
      </c>
      <c r="H179" s="2" t="s">
        <v>376</v>
      </c>
      <c r="I179" s="2" t="s">
        <v>377</v>
      </c>
      <c r="J179" s="8">
        <v>46013</v>
      </c>
      <c r="K179" s="8">
        <v>46014</v>
      </c>
      <c r="L179" s="2">
        <v>2555</v>
      </c>
      <c r="M179" s="2">
        <v>6673</v>
      </c>
      <c r="N179" s="7">
        <v>1800</v>
      </c>
      <c r="O179" s="2" t="s">
        <v>21</v>
      </c>
      <c r="P179" s="2" t="s">
        <v>21</v>
      </c>
      <c r="Q179" s="3">
        <f t="shared" si="2"/>
        <v>54</v>
      </c>
    </row>
    <row r="180" spans="1:17" x14ac:dyDescent="0.2">
      <c r="A180" s="2" t="s">
        <v>15</v>
      </c>
      <c r="B180" s="2" t="s">
        <v>508</v>
      </c>
      <c r="C180" s="2" t="s">
        <v>378</v>
      </c>
      <c r="D180" s="2">
        <v>537481949</v>
      </c>
      <c r="E180" s="2" t="s">
        <v>309</v>
      </c>
      <c r="F180" s="2" t="s">
        <v>379</v>
      </c>
      <c r="G180" s="8">
        <v>46012</v>
      </c>
      <c r="H180" s="2" t="s">
        <v>380</v>
      </c>
      <c r="I180" s="2" t="s">
        <v>381</v>
      </c>
      <c r="J180" s="8">
        <v>46012</v>
      </c>
      <c r="K180" s="8">
        <v>46014</v>
      </c>
      <c r="L180" s="2">
        <v>2556</v>
      </c>
      <c r="M180" s="2">
        <v>6674</v>
      </c>
      <c r="N180" s="7">
        <v>2300</v>
      </c>
      <c r="O180" s="2" t="s">
        <v>354</v>
      </c>
      <c r="P180" s="2" t="s">
        <v>78</v>
      </c>
      <c r="Q180" s="3">
        <f t="shared" si="2"/>
        <v>69</v>
      </c>
    </row>
    <row r="181" spans="1:17" x14ac:dyDescent="0.2">
      <c r="A181" s="2" t="s">
        <v>26</v>
      </c>
      <c r="B181" s="2" t="s">
        <v>467</v>
      </c>
      <c r="C181" s="2" t="s">
        <v>579</v>
      </c>
      <c r="D181" s="2">
        <v>34990780</v>
      </c>
      <c r="E181" s="2" t="s">
        <v>33</v>
      </c>
      <c r="F181" s="2" t="s">
        <v>27</v>
      </c>
      <c r="G181" s="8">
        <v>46013</v>
      </c>
      <c r="H181" s="2" t="s">
        <v>382</v>
      </c>
      <c r="I181" s="2" t="s">
        <v>131</v>
      </c>
      <c r="J181" s="8">
        <v>46013</v>
      </c>
      <c r="K181" s="8">
        <v>46015</v>
      </c>
      <c r="L181" s="2">
        <v>2557</v>
      </c>
      <c r="M181" s="2">
        <v>6675</v>
      </c>
      <c r="N181" s="7">
        <v>1750</v>
      </c>
      <c r="O181" s="2" t="s">
        <v>21</v>
      </c>
      <c r="P181" s="2" t="s">
        <v>78</v>
      </c>
      <c r="Q181" s="3">
        <f t="shared" si="2"/>
        <v>52.5</v>
      </c>
    </row>
    <row r="182" spans="1:17" x14ac:dyDescent="0.2">
      <c r="A182" s="2" t="s">
        <v>26</v>
      </c>
      <c r="B182" s="2" t="s">
        <v>383</v>
      </c>
      <c r="C182" s="2">
        <v>9522483525</v>
      </c>
      <c r="D182" s="2">
        <v>1564801</v>
      </c>
      <c r="E182" s="2" t="s">
        <v>33</v>
      </c>
      <c r="F182" s="2" t="s">
        <v>27</v>
      </c>
      <c r="G182" s="8">
        <v>46013</v>
      </c>
      <c r="H182" s="2" t="s">
        <v>118</v>
      </c>
      <c r="I182" s="2" t="s">
        <v>77</v>
      </c>
      <c r="J182" s="8">
        <v>46013</v>
      </c>
      <c r="K182" s="8">
        <v>46015</v>
      </c>
      <c r="L182" s="2">
        <v>2558</v>
      </c>
      <c r="M182" s="2">
        <v>6676</v>
      </c>
      <c r="N182" s="7">
        <v>1800</v>
      </c>
      <c r="O182" s="2" t="s">
        <v>21</v>
      </c>
      <c r="P182" s="2" t="s">
        <v>78</v>
      </c>
      <c r="Q182" s="3">
        <f t="shared" si="2"/>
        <v>54</v>
      </c>
    </row>
    <row r="183" spans="1:17" x14ac:dyDescent="0.2">
      <c r="A183" s="2" t="s">
        <v>15</v>
      </c>
      <c r="B183" s="2" t="s">
        <v>467</v>
      </c>
      <c r="C183" s="2" t="s">
        <v>564</v>
      </c>
      <c r="D183" s="2">
        <v>34952879</v>
      </c>
      <c r="E183" s="2" t="s">
        <v>17</v>
      </c>
      <c r="F183" s="2" t="s">
        <v>52</v>
      </c>
      <c r="G183" s="8">
        <v>46013</v>
      </c>
      <c r="H183" s="2" t="s">
        <v>384</v>
      </c>
      <c r="I183" s="2" t="s">
        <v>385</v>
      </c>
      <c r="J183" s="8">
        <v>46013</v>
      </c>
      <c r="K183" s="8">
        <v>46014</v>
      </c>
      <c r="L183" s="2">
        <v>2559</v>
      </c>
      <c r="M183" s="2">
        <v>6677</v>
      </c>
      <c r="N183" s="7">
        <v>1500</v>
      </c>
      <c r="O183" s="2" t="s">
        <v>21</v>
      </c>
      <c r="P183" s="2" t="s">
        <v>78</v>
      </c>
      <c r="Q183" s="3">
        <f t="shared" si="2"/>
        <v>45</v>
      </c>
    </row>
    <row r="184" spans="1:17" x14ac:dyDescent="0.2">
      <c r="A184" s="2" t="s">
        <v>15</v>
      </c>
      <c r="B184" s="2" t="s">
        <v>509</v>
      </c>
      <c r="C184" s="2">
        <v>2282942010</v>
      </c>
      <c r="D184" s="2">
        <v>83383</v>
      </c>
      <c r="E184" s="2" t="s">
        <v>17</v>
      </c>
      <c r="F184" s="2" t="s">
        <v>379</v>
      </c>
      <c r="G184" s="8">
        <v>46013</v>
      </c>
      <c r="H184" s="2" t="s">
        <v>386</v>
      </c>
      <c r="I184" s="2" t="s">
        <v>387</v>
      </c>
      <c r="J184" s="8">
        <v>46014</v>
      </c>
      <c r="K184" s="8">
        <v>46015</v>
      </c>
      <c r="L184" s="2">
        <v>2560</v>
      </c>
      <c r="M184" s="2">
        <v>6678</v>
      </c>
      <c r="N184" s="7">
        <v>1800</v>
      </c>
      <c r="O184" s="2" t="s">
        <v>595</v>
      </c>
      <c r="P184" s="2" t="s">
        <v>78</v>
      </c>
      <c r="Q184" s="3">
        <f t="shared" si="2"/>
        <v>54</v>
      </c>
    </row>
    <row r="185" spans="1:17" x14ac:dyDescent="0.2">
      <c r="A185" s="2" t="s">
        <v>15</v>
      </c>
      <c r="B185" s="2" t="s">
        <v>467</v>
      </c>
      <c r="C185" s="2" t="s">
        <v>580</v>
      </c>
      <c r="D185" s="2">
        <v>34981018</v>
      </c>
      <c r="E185" s="2" t="s">
        <v>33</v>
      </c>
      <c r="F185" s="2" t="s">
        <v>52</v>
      </c>
      <c r="G185" s="8">
        <v>46014</v>
      </c>
      <c r="H185" s="2" t="s">
        <v>388</v>
      </c>
      <c r="I185" s="2" t="s">
        <v>389</v>
      </c>
      <c r="J185" s="8">
        <v>46014</v>
      </c>
      <c r="K185" s="8">
        <v>46015</v>
      </c>
      <c r="L185" s="2">
        <v>2561</v>
      </c>
      <c r="M185" s="2">
        <v>6679</v>
      </c>
      <c r="N185" s="7">
        <v>3050</v>
      </c>
      <c r="O185" s="2" t="s">
        <v>21</v>
      </c>
      <c r="P185" s="2" t="s">
        <v>78</v>
      </c>
      <c r="Q185" s="3">
        <f t="shared" si="2"/>
        <v>91.5</v>
      </c>
    </row>
    <row r="186" spans="1:17" x14ac:dyDescent="0.2">
      <c r="A186" s="2" t="s">
        <v>15</v>
      </c>
      <c r="B186" s="2" t="s">
        <v>312</v>
      </c>
      <c r="C186" s="2" t="s">
        <v>565</v>
      </c>
      <c r="D186" s="2">
        <v>1116608</v>
      </c>
      <c r="E186" s="2" t="s">
        <v>33</v>
      </c>
      <c r="F186" s="2" t="s">
        <v>52</v>
      </c>
      <c r="G186" s="8">
        <v>46014</v>
      </c>
      <c r="H186" s="2" t="s">
        <v>390</v>
      </c>
      <c r="I186" s="2" t="s">
        <v>391</v>
      </c>
      <c r="J186" s="8">
        <v>46015</v>
      </c>
      <c r="K186" s="8">
        <v>46017</v>
      </c>
      <c r="L186" s="2">
        <v>2562</v>
      </c>
      <c r="M186" s="2">
        <v>6680</v>
      </c>
      <c r="N186" s="7">
        <v>1250</v>
      </c>
      <c r="O186" s="2" t="s">
        <v>21</v>
      </c>
      <c r="P186" s="2" t="s">
        <v>78</v>
      </c>
      <c r="Q186" s="3">
        <f t="shared" si="2"/>
        <v>37.5</v>
      </c>
    </row>
    <row r="187" spans="1:17" x14ac:dyDescent="0.2">
      <c r="A187" s="2" t="s">
        <v>466</v>
      </c>
      <c r="B187" s="2" t="s">
        <v>392</v>
      </c>
      <c r="C187" s="2">
        <v>9046651701</v>
      </c>
      <c r="D187" s="2">
        <v>430192</v>
      </c>
      <c r="E187" s="2" t="s">
        <v>47</v>
      </c>
      <c r="F187" s="2" t="s">
        <v>88</v>
      </c>
      <c r="G187" s="8">
        <v>46014</v>
      </c>
      <c r="H187" s="2" t="s">
        <v>393</v>
      </c>
      <c r="I187" s="2" t="s">
        <v>359</v>
      </c>
      <c r="J187" s="8">
        <v>46014</v>
      </c>
      <c r="K187" s="8">
        <v>46014</v>
      </c>
      <c r="L187" s="2">
        <v>2563</v>
      </c>
      <c r="M187" s="2">
        <v>6681</v>
      </c>
      <c r="N187" s="7">
        <v>800</v>
      </c>
      <c r="O187" s="2" t="s">
        <v>21</v>
      </c>
      <c r="P187" s="2" t="s">
        <v>78</v>
      </c>
      <c r="Q187" s="3">
        <f t="shared" si="2"/>
        <v>24</v>
      </c>
    </row>
    <row r="188" spans="1:17" x14ac:dyDescent="0.2">
      <c r="A188" s="2" t="s">
        <v>466</v>
      </c>
      <c r="B188" s="2" t="s">
        <v>467</v>
      </c>
      <c r="C188" s="2" t="s">
        <v>581</v>
      </c>
      <c r="D188" s="2">
        <v>35031268</v>
      </c>
      <c r="E188" s="2" t="s">
        <v>47</v>
      </c>
      <c r="F188" s="2" t="s">
        <v>88</v>
      </c>
      <c r="G188" s="8">
        <v>46017</v>
      </c>
      <c r="H188" s="2" t="s">
        <v>310</v>
      </c>
      <c r="I188" s="2" t="s">
        <v>394</v>
      </c>
      <c r="J188" s="8">
        <v>46017</v>
      </c>
      <c r="K188" s="8">
        <v>46020</v>
      </c>
      <c r="L188" s="2">
        <v>2564</v>
      </c>
      <c r="M188" s="2">
        <v>6682</v>
      </c>
      <c r="N188" s="7">
        <v>650</v>
      </c>
      <c r="O188" s="2" t="s">
        <v>595</v>
      </c>
      <c r="P188" s="2" t="s">
        <v>78</v>
      </c>
      <c r="Q188" s="3">
        <f t="shared" si="2"/>
        <v>19.5</v>
      </c>
    </row>
    <row r="189" spans="1:17" x14ac:dyDescent="0.2">
      <c r="A189" s="2" t="s">
        <v>464</v>
      </c>
      <c r="B189" s="2" t="s">
        <v>398</v>
      </c>
      <c r="C189" s="2" t="s">
        <v>530</v>
      </c>
      <c r="D189" s="2">
        <v>1306310</v>
      </c>
      <c r="E189" s="2" t="s">
        <v>33</v>
      </c>
      <c r="F189" s="2" t="s">
        <v>34</v>
      </c>
      <c r="G189" s="8">
        <v>46017</v>
      </c>
      <c r="H189" s="2" t="s">
        <v>399</v>
      </c>
      <c r="I189" s="2" t="s">
        <v>400</v>
      </c>
      <c r="J189" s="8">
        <v>46017</v>
      </c>
      <c r="K189" s="8">
        <v>46020</v>
      </c>
      <c r="L189" s="2">
        <v>2565</v>
      </c>
      <c r="M189" s="2">
        <v>6683</v>
      </c>
      <c r="N189" s="7">
        <v>1000</v>
      </c>
      <c r="O189" s="2" t="s">
        <v>21</v>
      </c>
      <c r="P189" s="2" t="s">
        <v>78</v>
      </c>
      <c r="Q189" s="3">
        <f t="shared" si="2"/>
        <v>30</v>
      </c>
    </row>
    <row r="190" spans="1:17" x14ac:dyDescent="0.2">
      <c r="A190" s="2" t="s">
        <v>465</v>
      </c>
      <c r="B190" s="2" t="s">
        <v>511</v>
      </c>
      <c r="C190" s="2">
        <v>2529666095</v>
      </c>
      <c r="D190" s="2">
        <v>20967387</v>
      </c>
      <c r="E190" s="2" t="s">
        <v>33</v>
      </c>
      <c r="F190" s="2" t="s">
        <v>43</v>
      </c>
      <c r="G190" s="8">
        <v>46020</v>
      </c>
      <c r="H190" s="2" t="s">
        <v>408</v>
      </c>
      <c r="I190" s="2" t="s">
        <v>409</v>
      </c>
      <c r="J190" s="8">
        <v>46020</v>
      </c>
      <c r="K190" s="8">
        <v>46021</v>
      </c>
      <c r="L190" s="2">
        <v>2566</v>
      </c>
      <c r="M190" s="2">
        <v>6684</v>
      </c>
      <c r="N190" s="7">
        <v>1250</v>
      </c>
      <c r="O190" s="2" t="s">
        <v>21</v>
      </c>
      <c r="P190" s="2" t="s">
        <v>21</v>
      </c>
      <c r="Q190" s="3">
        <f t="shared" si="2"/>
        <v>37.5</v>
      </c>
    </row>
    <row r="191" spans="1:17" x14ac:dyDescent="0.2">
      <c r="A191" s="2" t="s">
        <v>15</v>
      </c>
      <c r="B191" s="2" t="s">
        <v>467</v>
      </c>
      <c r="C191" s="2" t="s">
        <v>587</v>
      </c>
      <c r="D191" s="2">
        <v>34943172</v>
      </c>
      <c r="E191" s="2" t="s">
        <v>17</v>
      </c>
      <c r="F191" s="2" t="s">
        <v>379</v>
      </c>
      <c r="G191" s="8">
        <v>46014</v>
      </c>
      <c r="H191" s="2" t="s">
        <v>431</v>
      </c>
      <c r="I191" s="2" t="s">
        <v>232</v>
      </c>
      <c r="J191" s="8">
        <v>46015</v>
      </c>
      <c r="K191" s="8">
        <v>46017</v>
      </c>
      <c r="L191" s="2">
        <v>2550</v>
      </c>
      <c r="M191" s="2">
        <v>6685</v>
      </c>
      <c r="N191" s="7">
        <v>1350</v>
      </c>
      <c r="O191" s="2" t="s">
        <v>21</v>
      </c>
      <c r="P191" s="2" t="s">
        <v>78</v>
      </c>
      <c r="Q191" s="3">
        <f t="shared" si="2"/>
        <v>40.5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3"/>
  <sheetViews>
    <sheetView workbookViewId="0">
      <selection activeCell="B16" sqref="B16"/>
    </sheetView>
  </sheetViews>
  <sheetFormatPr defaultColWidth="12.5703125" defaultRowHeight="15.75" customHeight="1" x14ac:dyDescent="0.2"/>
  <cols>
    <col min="1" max="1" width="8.7109375" bestFit="1" customWidth="1"/>
    <col min="2" max="2" width="37.28515625" bestFit="1" customWidth="1"/>
    <col min="3" max="3" width="7.42578125" bestFit="1" customWidth="1"/>
    <col min="4" max="4" width="6.5703125" bestFit="1" customWidth="1"/>
    <col min="5" max="5" width="7" bestFit="1" customWidth="1"/>
  </cols>
  <sheetData>
    <row r="1" spans="1:5" x14ac:dyDescent="0.2">
      <c r="A1" s="1" t="s">
        <v>5</v>
      </c>
      <c r="B1" s="1" t="s">
        <v>456</v>
      </c>
      <c r="C1" s="1" t="s">
        <v>457</v>
      </c>
      <c r="D1" s="1" t="s">
        <v>458</v>
      </c>
      <c r="E1" s="1" t="s">
        <v>459</v>
      </c>
    </row>
    <row r="2" spans="1:5" x14ac:dyDescent="0.2">
      <c r="A2" s="1" t="s">
        <v>18</v>
      </c>
      <c r="B2" s="1" t="s">
        <v>15</v>
      </c>
    </row>
    <row r="3" spans="1:5" x14ac:dyDescent="0.2">
      <c r="A3" s="1" t="s">
        <v>336</v>
      </c>
      <c r="B3" s="1" t="s">
        <v>15</v>
      </c>
    </row>
    <row r="4" spans="1:5" x14ac:dyDescent="0.2">
      <c r="A4" s="1" t="s">
        <v>52</v>
      </c>
      <c r="B4" s="1" t="s">
        <v>15</v>
      </c>
    </row>
    <row r="5" spans="1:5" x14ac:dyDescent="0.2">
      <c r="A5" s="1" t="s">
        <v>460</v>
      </c>
      <c r="B5" s="1" t="s">
        <v>15</v>
      </c>
    </row>
    <row r="6" spans="1:5" x14ac:dyDescent="0.2">
      <c r="A6" s="1" t="s">
        <v>71</v>
      </c>
      <c r="B6" s="1" t="s">
        <v>15</v>
      </c>
    </row>
    <row r="7" spans="1:5" x14ac:dyDescent="0.2">
      <c r="A7" s="1" t="s">
        <v>379</v>
      </c>
      <c r="B7" s="1" t="s">
        <v>15</v>
      </c>
    </row>
    <row r="8" spans="1:5" x14ac:dyDescent="0.2">
      <c r="A8" s="1" t="s">
        <v>34</v>
      </c>
      <c r="B8" s="1" t="s">
        <v>30</v>
      </c>
    </row>
    <row r="9" spans="1:5" x14ac:dyDescent="0.2">
      <c r="A9" s="1" t="s">
        <v>48</v>
      </c>
      <c r="B9" s="1" t="s">
        <v>461</v>
      </c>
    </row>
    <row r="10" spans="1:5" x14ac:dyDescent="0.2">
      <c r="A10" s="1" t="s">
        <v>168</v>
      </c>
      <c r="B10" s="1" t="s">
        <v>26</v>
      </c>
    </row>
    <row r="11" spans="1:5" x14ac:dyDescent="0.2">
      <c r="A11" s="1" t="s">
        <v>27</v>
      </c>
      <c r="B11" s="1" t="s">
        <v>26</v>
      </c>
    </row>
    <row r="12" spans="1:5" x14ac:dyDescent="0.2">
      <c r="A12" s="1" t="s">
        <v>37</v>
      </c>
      <c r="B12" s="1" t="s">
        <v>462</v>
      </c>
    </row>
    <row r="13" spans="1:5" x14ac:dyDescent="0.2">
      <c r="A13" s="1" t="s">
        <v>84</v>
      </c>
      <c r="B13" s="1" t="s">
        <v>463</v>
      </c>
    </row>
    <row r="14" spans="1:5" x14ac:dyDescent="0.2">
      <c r="A14" s="1" t="s">
        <v>88</v>
      </c>
      <c r="B14" s="1" t="s">
        <v>87</v>
      </c>
    </row>
    <row r="15" spans="1:5" x14ac:dyDescent="0.2">
      <c r="A15" s="1" t="s">
        <v>438</v>
      </c>
      <c r="B15" s="1" t="s">
        <v>437</v>
      </c>
    </row>
    <row r="16" spans="1:5" x14ac:dyDescent="0.2">
      <c r="A16" s="1" t="s">
        <v>43</v>
      </c>
      <c r="B16" s="1" t="s">
        <v>40</v>
      </c>
    </row>
    <row r="17" spans="1:2" x14ac:dyDescent="0.2">
      <c r="A17" s="1" t="s">
        <v>60</v>
      </c>
      <c r="B17" s="1" t="s">
        <v>40</v>
      </c>
    </row>
    <row r="18" spans="1:2" x14ac:dyDescent="0.2">
      <c r="A18" s="1" t="s">
        <v>106</v>
      </c>
      <c r="B18" s="1" t="s">
        <v>40</v>
      </c>
    </row>
    <row r="19" spans="1:2" x14ac:dyDescent="0.2">
      <c r="A19" s="1" t="s">
        <v>177</v>
      </c>
      <c r="B19" s="1" t="s">
        <v>40</v>
      </c>
    </row>
    <row r="20" spans="1:2" x14ac:dyDescent="0.2">
      <c r="A20" s="1" t="s">
        <v>79</v>
      </c>
      <c r="B20" s="1" t="s">
        <v>40</v>
      </c>
    </row>
    <row r="21" spans="1:2" x14ac:dyDescent="0.2">
      <c r="A21" s="1" t="s">
        <v>112</v>
      </c>
      <c r="B21" s="1" t="s">
        <v>40</v>
      </c>
    </row>
    <row r="22" spans="1:2" x14ac:dyDescent="0.2">
      <c r="A22" s="1" t="s">
        <v>302</v>
      </c>
      <c r="B22" s="1" t="s">
        <v>40</v>
      </c>
    </row>
    <row r="23" spans="1:2" x14ac:dyDescent="0.2">
      <c r="A23" s="1" t="s">
        <v>123</v>
      </c>
      <c r="B23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Sheet</vt:lpstr>
      <vt:lpstr>Driver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Murtaza Arfan</cp:lastModifiedBy>
  <dcterms:modified xsi:type="dcterms:W3CDTF">2026-01-31T10:08:52Z</dcterms:modified>
</cp:coreProperties>
</file>